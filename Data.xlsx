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52" windowWidth="22716" windowHeight="9468"/>
  </bookViews>
  <sheets>
    <sheet name="Φύλλο1" sheetId="1" r:id="rId1"/>
  </sheets>
  <calcPr calcId="124519"/>
</workbook>
</file>

<file path=xl/calcChain.xml><?xml version="1.0" encoding="utf-8"?>
<calcChain xmlns="http://schemas.openxmlformats.org/spreadsheetml/2006/main">
  <c r="HH2" i="1"/>
  <c r="GZ3"/>
  <c r="GZ4"/>
  <c r="GZ5"/>
  <c r="GZ6"/>
  <c r="GZ7"/>
  <c r="GZ8"/>
  <c r="GZ9"/>
  <c r="GZ10"/>
  <c r="GZ11"/>
  <c r="GZ12"/>
  <c r="GZ13"/>
  <c r="GZ14"/>
  <c r="GZ15"/>
  <c r="GZ16"/>
  <c r="GZ17"/>
  <c r="GZ18"/>
  <c r="GZ19"/>
  <c r="GZ20"/>
  <c r="GZ21"/>
  <c r="GZ22"/>
  <c r="GZ23"/>
  <c r="GZ24"/>
  <c r="GZ25"/>
  <c r="GZ26"/>
  <c r="GZ27"/>
  <c r="GZ2"/>
  <c r="GS2"/>
  <c r="HA2"/>
  <c r="HG2"/>
  <c r="HF2"/>
  <c r="HD2"/>
  <c r="GR2"/>
  <c r="GX2"/>
  <c r="GW2"/>
  <c r="GU2"/>
  <c r="GT2"/>
  <c r="GQ2"/>
  <c r="GM27"/>
  <c r="GN27" s="1"/>
  <c r="GH27"/>
  <c r="GI27" s="1"/>
  <c r="GC27"/>
  <c r="GD27" s="1"/>
  <c r="FX27"/>
  <c r="FY27" s="1"/>
  <c r="FS27"/>
  <c r="FT27" s="1"/>
  <c r="FN27"/>
  <c r="FO27" s="1"/>
  <c r="FI27"/>
  <c r="FJ27" s="1"/>
  <c r="FD27"/>
  <c r="FE27" s="1"/>
  <c r="EY27"/>
  <c r="EZ27" s="1"/>
  <c r="ET27"/>
  <c r="EU27" s="1"/>
  <c r="EO27"/>
  <c r="EP27" s="1"/>
  <c r="EJ27"/>
  <c r="EK27" s="1"/>
  <c r="EE27"/>
  <c r="EF27" s="1"/>
  <c r="DZ27"/>
  <c r="EA27" s="1"/>
  <c r="DU27"/>
  <c r="DV27" s="1"/>
  <c r="DP27"/>
  <c r="DQ27" s="1"/>
  <c r="DK27"/>
  <c r="DL27" s="1"/>
  <c r="DF27"/>
  <c r="DG27" s="1"/>
  <c r="DA27"/>
  <c r="DB27" s="1"/>
  <c r="CV27"/>
  <c r="CW27" s="1"/>
  <c r="CQ27"/>
  <c r="CR27" s="1"/>
  <c r="CL27"/>
  <c r="CM27" s="1"/>
  <c r="CG27"/>
  <c r="CH27" s="1"/>
  <c r="CB27"/>
  <c r="CC27" s="1"/>
  <c r="BW27"/>
  <c r="BX27" s="1"/>
  <c r="BR27"/>
  <c r="BS27" s="1"/>
  <c r="BM27"/>
  <c r="BN27" s="1"/>
  <c r="BH27"/>
  <c r="BI27" s="1"/>
  <c r="BC27"/>
  <c r="BD27" s="1"/>
  <c r="AX27"/>
  <c r="AY27" s="1"/>
  <c r="AS27"/>
  <c r="AT27" s="1"/>
  <c r="AN27"/>
  <c r="AO27" s="1"/>
  <c r="AJ27"/>
  <c r="AC27"/>
  <c r="Y27"/>
  <c r="U27"/>
  <c r="Q27"/>
  <c r="GN26"/>
  <c r="GM26"/>
  <c r="GI26"/>
  <c r="GH26"/>
  <c r="GD26"/>
  <c r="GC26"/>
  <c r="FY26"/>
  <c r="FX26"/>
  <c r="FT26"/>
  <c r="FS26"/>
  <c r="FO26"/>
  <c r="FN26"/>
  <c r="FJ26"/>
  <c r="FI26"/>
  <c r="FE26"/>
  <c r="FD26"/>
  <c r="EZ26"/>
  <c r="EY26"/>
  <c r="EU26"/>
  <c r="ET26"/>
  <c r="EP26"/>
  <c r="EO26"/>
  <c r="EK26"/>
  <c r="EJ26"/>
  <c r="EF26"/>
  <c r="EE26"/>
  <c r="EA26"/>
  <c r="DZ26"/>
  <c r="DV26"/>
  <c r="HE26" s="1"/>
  <c r="DU26"/>
  <c r="DQ26"/>
  <c r="HD26" s="1"/>
  <c r="DP26"/>
  <c r="DL26"/>
  <c r="DK26"/>
  <c r="DG26"/>
  <c r="DF26"/>
  <c r="DB26"/>
  <c r="DA26"/>
  <c r="CW26"/>
  <c r="CV26"/>
  <c r="CR26"/>
  <c r="CQ26"/>
  <c r="CM26"/>
  <c r="CL26"/>
  <c r="CH26"/>
  <c r="CG26"/>
  <c r="CC26"/>
  <c r="CB26"/>
  <c r="BX26"/>
  <c r="BW26"/>
  <c r="BS26"/>
  <c r="BR26"/>
  <c r="BN26"/>
  <c r="BM26"/>
  <c r="BI26"/>
  <c r="BH26"/>
  <c r="BD26"/>
  <c r="BC26"/>
  <c r="AY26"/>
  <c r="AX26"/>
  <c r="AT26"/>
  <c r="GV26" s="1"/>
  <c r="AS26"/>
  <c r="AO26"/>
  <c r="GU26" s="1"/>
  <c r="AN26"/>
  <c r="AJ26"/>
  <c r="AC26"/>
  <c r="Y26"/>
  <c r="U26"/>
  <c r="Q26"/>
  <c r="GM25"/>
  <c r="GN25" s="1"/>
  <c r="GH25"/>
  <c r="GI25" s="1"/>
  <c r="GC25"/>
  <c r="GD25" s="1"/>
  <c r="FX25"/>
  <c r="FY25" s="1"/>
  <c r="FS25"/>
  <c r="FT25" s="1"/>
  <c r="FN25"/>
  <c r="FO25" s="1"/>
  <c r="FI25"/>
  <c r="FJ25" s="1"/>
  <c r="FD25"/>
  <c r="FE25" s="1"/>
  <c r="EY25"/>
  <c r="EZ25" s="1"/>
  <c r="ET25"/>
  <c r="EU25" s="1"/>
  <c r="EO25"/>
  <c r="EP25" s="1"/>
  <c r="EJ25"/>
  <c r="EK25" s="1"/>
  <c r="EE25"/>
  <c r="EF25" s="1"/>
  <c r="DZ25"/>
  <c r="EA25" s="1"/>
  <c r="DU25"/>
  <c r="DV25" s="1"/>
  <c r="DP25"/>
  <c r="DQ25" s="1"/>
  <c r="HD25" s="1"/>
  <c r="DK25"/>
  <c r="DL25" s="1"/>
  <c r="DF25"/>
  <c r="DG25" s="1"/>
  <c r="DA25"/>
  <c r="DB25" s="1"/>
  <c r="CV25"/>
  <c r="CW25" s="1"/>
  <c r="CQ25"/>
  <c r="CR25" s="1"/>
  <c r="CL25"/>
  <c r="CM25" s="1"/>
  <c r="CG25"/>
  <c r="CH25" s="1"/>
  <c r="CB25"/>
  <c r="CC25" s="1"/>
  <c r="BW25"/>
  <c r="BX25" s="1"/>
  <c r="BR25"/>
  <c r="BS25" s="1"/>
  <c r="BM25"/>
  <c r="BN25" s="1"/>
  <c r="BH25"/>
  <c r="BI25" s="1"/>
  <c r="BC25"/>
  <c r="BD25" s="1"/>
  <c r="AX25"/>
  <c r="AY25" s="1"/>
  <c r="AS25"/>
  <c r="AT25" s="1"/>
  <c r="GV25" s="1"/>
  <c r="AN25"/>
  <c r="AO25" s="1"/>
  <c r="GU25" s="1"/>
  <c r="AJ25"/>
  <c r="AC25"/>
  <c r="Y25"/>
  <c r="U25"/>
  <c r="Q25"/>
  <c r="GN24"/>
  <c r="GM24"/>
  <c r="GI24"/>
  <c r="GH24"/>
  <c r="GD24"/>
  <c r="GC24"/>
  <c r="FY24"/>
  <c r="FX24"/>
  <c r="FT24"/>
  <c r="FS24"/>
  <c r="FO24"/>
  <c r="FN24"/>
  <c r="FJ24"/>
  <c r="FI24"/>
  <c r="FE24"/>
  <c r="FD24"/>
  <c r="EZ24"/>
  <c r="EY24"/>
  <c r="EU24"/>
  <c r="ET24"/>
  <c r="EP24"/>
  <c r="EO24"/>
  <c r="EK24"/>
  <c r="EJ24"/>
  <c r="EF24"/>
  <c r="EE24"/>
  <c r="EA24"/>
  <c r="DZ24"/>
  <c r="DV24"/>
  <c r="HE24" s="1"/>
  <c r="DU24"/>
  <c r="DQ24"/>
  <c r="HD24" s="1"/>
  <c r="HB24" s="1"/>
  <c r="DP24"/>
  <c r="DL24"/>
  <c r="DK24"/>
  <c r="DG24"/>
  <c r="DF24"/>
  <c r="DB24"/>
  <c r="DA24"/>
  <c r="CW24"/>
  <c r="CV24"/>
  <c r="CR24"/>
  <c r="CQ24"/>
  <c r="CM24"/>
  <c r="CL24"/>
  <c r="CH24"/>
  <c r="CG24"/>
  <c r="CC24"/>
  <c r="CB24"/>
  <c r="BX24"/>
  <c r="BW24"/>
  <c r="BS24"/>
  <c r="BR24"/>
  <c r="BN24"/>
  <c r="BM24"/>
  <c r="BI24"/>
  <c r="BH24"/>
  <c r="BD24"/>
  <c r="BC24"/>
  <c r="AY24"/>
  <c r="AX24"/>
  <c r="AT24"/>
  <c r="GV24" s="1"/>
  <c r="AS24"/>
  <c r="AO24"/>
  <c r="GU24" s="1"/>
  <c r="AN24"/>
  <c r="AJ24"/>
  <c r="AC24"/>
  <c r="Y24"/>
  <c r="U24"/>
  <c r="Q24"/>
  <c r="GM23"/>
  <c r="GN23" s="1"/>
  <c r="GH23"/>
  <c r="GI23" s="1"/>
  <c r="GC23"/>
  <c r="GD23" s="1"/>
  <c r="FX23"/>
  <c r="FY23" s="1"/>
  <c r="FS23"/>
  <c r="FT23" s="1"/>
  <c r="FN23"/>
  <c r="FO23" s="1"/>
  <c r="FI23"/>
  <c r="FJ23" s="1"/>
  <c r="FD23"/>
  <c r="FE23" s="1"/>
  <c r="EY23"/>
  <c r="EZ23" s="1"/>
  <c r="ET23"/>
  <c r="EU23" s="1"/>
  <c r="EO23"/>
  <c r="EP23" s="1"/>
  <c r="EJ23"/>
  <c r="EK23" s="1"/>
  <c r="EE23"/>
  <c r="EF23" s="1"/>
  <c r="DZ23"/>
  <c r="EA23" s="1"/>
  <c r="DU23"/>
  <c r="DV23" s="1"/>
  <c r="DP23"/>
  <c r="DQ23" s="1"/>
  <c r="DK23"/>
  <c r="DL23" s="1"/>
  <c r="DF23"/>
  <c r="DG23" s="1"/>
  <c r="DA23"/>
  <c r="DB23" s="1"/>
  <c r="CV23"/>
  <c r="CW23" s="1"/>
  <c r="CQ23"/>
  <c r="CR23" s="1"/>
  <c r="CL23"/>
  <c r="CM23" s="1"/>
  <c r="CG23"/>
  <c r="CH23" s="1"/>
  <c r="CB23"/>
  <c r="CC23" s="1"/>
  <c r="BW23"/>
  <c r="BX23" s="1"/>
  <c r="BR23"/>
  <c r="BS23" s="1"/>
  <c r="BM23"/>
  <c r="BN23" s="1"/>
  <c r="BH23"/>
  <c r="BI23" s="1"/>
  <c r="BC23"/>
  <c r="BD23" s="1"/>
  <c r="AX23"/>
  <c r="AY23" s="1"/>
  <c r="AS23"/>
  <c r="AT23" s="1"/>
  <c r="AN23"/>
  <c r="AO23" s="1"/>
  <c r="AJ23"/>
  <c r="AC23"/>
  <c r="Y23"/>
  <c r="U23"/>
  <c r="Q23"/>
  <c r="GN22"/>
  <c r="GM22"/>
  <c r="GI22"/>
  <c r="GH22"/>
  <c r="GD22"/>
  <c r="GC22"/>
  <c r="FY22"/>
  <c r="FX22"/>
  <c r="FT22"/>
  <c r="FS22"/>
  <c r="FO22"/>
  <c r="FN22"/>
  <c r="FJ22"/>
  <c r="FI22"/>
  <c r="FE22"/>
  <c r="FD22"/>
  <c r="EZ22"/>
  <c r="EY22"/>
  <c r="EU22"/>
  <c r="ET22"/>
  <c r="EP22"/>
  <c r="EO22"/>
  <c r="EK22"/>
  <c r="EJ22"/>
  <c r="EF22"/>
  <c r="EE22"/>
  <c r="EA22"/>
  <c r="DZ22"/>
  <c r="DV22"/>
  <c r="HE22" s="1"/>
  <c r="DU22"/>
  <c r="DQ22"/>
  <c r="HD22" s="1"/>
  <c r="DP22"/>
  <c r="DL22"/>
  <c r="DK22"/>
  <c r="DG22"/>
  <c r="DF22"/>
  <c r="DB22"/>
  <c r="DA22"/>
  <c r="CW22"/>
  <c r="CV22"/>
  <c r="CR22"/>
  <c r="CQ22"/>
  <c r="CM22"/>
  <c r="CL22"/>
  <c r="CH22"/>
  <c r="CG22"/>
  <c r="CC22"/>
  <c r="CB22"/>
  <c r="BX22"/>
  <c r="BW22"/>
  <c r="BS22"/>
  <c r="BR22"/>
  <c r="BN22"/>
  <c r="BM22"/>
  <c r="BI22"/>
  <c r="BH22"/>
  <c r="BD22"/>
  <c r="BC22"/>
  <c r="AY22"/>
  <c r="AX22"/>
  <c r="AT22"/>
  <c r="GV22" s="1"/>
  <c r="AS22"/>
  <c r="AO22"/>
  <c r="GU22" s="1"/>
  <c r="AN22"/>
  <c r="AJ22"/>
  <c r="AC22"/>
  <c r="Y22"/>
  <c r="U22"/>
  <c r="Q22"/>
  <c r="GM21"/>
  <c r="GN21" s="1"/>
  <c r="GH21"/>
  <c r="GI21" s="1"/>
  <c r="GC21"/>
  <c r="GD21" s="1"/>
  <c r="FX21"/>
  <c r="FY21" s="1"/>
  <c r="FS21"/>
  <c r="FT21" s="1"/>
  <c r="FN21"/>
  <c r="FO21" s="1"/>
  <c r="FI21"/>
  <c r="FJ21" s="1"/>
  <c r="FD21"/>
  <c r="FE21" s="1"/>
  <c r="EY21"/>
  <c r="EZ21" s="1"/>
  <c r="ET21"/>
  <c r="EU21" s="1"/>
  <c r="EO21"/>
  <c r="EP21" s="1"/>
  <c r="EJ21"/>
  <c r="EK21" s="1"/>
  <c r="EE21"/>
  <c r="EF21" s="1"/>
  <c r="DZ21"/>
  <c r="EA21" s="1"/>
  <c r="DU21"/>
  <c r="DV21" s="1"/>
  <c r="DP21"/>
  <c r="DQ21" s="1"/>
  <c r="HD21" s="1"/>
  <c r="DK21"/>
  <c r="DL21" s="1"/>
  <c r="DF21"/>
  <c r="DG21" s="1"/>
  <c r="DA21"/>
  <c r="DB21" s="1"/>
  <c r="CV21"/>
  <c r="CW21" s="1"/>
  <c r="CQ21"/>
  <c r="CR21" s="1"/>
  <c r="CL21"/>
  <c r="CM21" s="1"/>
  <c r="CG21"/>
  <c r="CH21" s="1"/>
  <c r="CB21"/>
  <c r="CC21" s="1"/>
  <c r="BW21"/>
  <c r="BX21" s="1"/>
  <c r="BR21"/>
  <c r="BS21" s="1"/>
  <c r="BM21"/>
  <c r="BN21" s="1"/>
  <c r="BH21"/>
  <c r="BI21" s="1"/>
  <c r="BC21"/>
  <c r="BD21" s="1"/>
  <c r="AX21"/>
  <c r="AY21" s="1"/>
  <c r="AS21"/>
  <c r="AT21" s="1"/>
  <c r="GV21" s="1"/>
  <c r="AN21"/>
  <c r="AO21" s="1"/>
  <c r="GU21" s="1"/>
  <c r="AJ21"/>
  <c r="AC21"/>
  <c r="Y21"/>
  <c r="U21"/>
  <c r="Q21"/>
  <c r="GN20"/>
  <c r="GM20"/>
  <c r="GI20"/>
  <c r="GH20"/>
  <c r="GD20"/>
  <c r="GC20"/>
  <c r="FY20"/>
  <c r="FX20"/>
  <c r="FT20"/>
  <c r="FS20"/>
  <c r="FO20"/>
  <c r="FN20"/>
  <c r="FJ20"/>
  <c r="FI20"/>
  <c r="FE20"/>
  <c r="FD20"/>
  <c r="EZ20"/>
  <c r="EY20"/>
  <c r="EU20"/>
  <c r="ET20"/>
  <c r="EP20"/>
  <c r="EO20"/>
  <c r="EK20"/>
  <c r="EJ20"/>
  <c r="EF20"/>
  <c r="EE20"/>
  <c r="EA20"/>
  <c r="DZ20"/>
  <c r="DV20"/>
  <c r="HE20" s="1"/>
  <c r="DU20"/>
  <c r="DQ20"/>
  <c r="HD20" s="1"/>
  <c r="HB20" s="1"/>
  <c r="DP20"/>
  <c r="DL20"/>
  <c r="DK20"/>
  <c r="DG20"/>
  <c r="DF20"/>
  <c r="DB20"/>
  <c r="DA20"/>
  <c r="CW20"/>
  <c r="CV20"/>
  <c r="CR20"/>
  <c r="CQ20"/>
  <c r="CM20"/>
  <c r="CL20"/>
  <c r="CH20"/>
  <c r="CG20"/>
  <c r="CC20"/>
  <c r="CB20"/>
  <c r="BX20"/>
  <c r="BW20"/>
  <c r="BS20"/>
  <c r="BR20"/>
  <c r="BN20"/>
  <c r="BM20"/>
  <c r="BI20"/>
  <c r="BH20"/>
  <c r="BD20"/>
  <c r="BC20"/>
  <c r="AY20"/>
  <c r="AX20"/>
  <c r="AT20"/>
  <c r="GV20" s="1"/>
  <c r="AS20"/>
  <c r="AO20"/>
  <c r="GU20" s="1"/>
  <c r="AN20"/>
  <c r="AJ20"/>
  <c r="AC20"/>
  <c r="Y20"/>
  <c r="U20"/>
  <c r="Q20"/>
  <c r="GM19"/>
  <c r="GN19" s="1"/>
  <c r="GH19"/>
  <c r="GI19" s="1"/>
  <c r="GC19"/>
  <c r="GD19" s="1"/>
  <c r="FX19"/>
  <c r="FY19" s="1"/>
  <c r="FS19"/>
  <c r="FT19" s="1"/>
  <c r="FN19"/>
  <c r="FO19" s="1"/>
  <c r="FI19"/>
  <c r="FJ19" s="1"/>
  <c r="FD19"/>
  <c r="FE19" s="1"/>
  <c r="EY19"/>
  <c r="EZ19" s="1"/>
  <c r="ET19"/>
  <c r="EU19" s="1"/>
  <c r="EO19"/>
  <c r="EP19" s="1"/>
  <c r="EJ19"/>
  <c r="EK19" s="1"/>
  <c r="EE19"/>
  <c r="EF19" s="1"/>
  <c r="DZ19"/>
  <c r="EA19" s="1"/>
  <c r="DU19"/>
  <c r="DV19" s="1"/>
  <c r="DP19"/>
  <c r="DQ19" s="1"/>
  <c r="DK19"/>
  <c r="DL19" s="1"/>
  <c r="DF19"/>
  <c r="DG19" s="1"/>
  <c r="DA19"/>
  <c r="DB19" s="1"/>
  <c r="CV19"/>
  <c r="CW19" s="1"/>
  <c r="CQ19"/>
  <c r="CR19" s="1"/>
  <c r="CL19"/>
  <c r="CM19" s="1"/>
  <c r="CG19"/>
  <c r="CH19" s="1"/>
  <c r="CB19"/>
  <c r="CC19" s="1"/>
  <c r="BW19"/>
  <c r="BX19" s="1"/>
  <c r="BR19"/>
  <c r="BS19" s="1"/>
  <c r="BM19"/>
  <c r="BN19" s="1"/>
  <c r="BH19"/>
  <c r="BI19" s="1"/>
  <c r="BC19"/>
  <c r="BD19" s="1"/>
  <c r="AX19"/>
  <c r="AY19" s="1"/>
  <c r="AS19"/>
  <c r="AT19" s="1"/>
  <c r="AN19"/>
  <c r="AO19" s="1"/>
  <c r="AJ19"/>
  <c r="AC19"/>
  <c r="Y19"/>
  <c r="U19"/>
  <c r="Q19"/>
  <c r="GN18"/>
  <c r="GM18"/>
  <c r="GI18"/>
  <c r="GH18"/>
  <c r="GD18"/>
  <c r="GC18"/>
  <c r="FY18"/>
  <c r="FX18"/>
  <c r="FT18"/>
  <c r="FS18"/>
  <c r="FO18"/>
  <c r="FN18"/>
  <c r="FJ18"/>
  <c r="FI18"/>
  <c r="FE18"/>
  <c r="FD18"/>
  <c r="EZ18"/>
  <c r="EY18"/>
  <c r="EU18"/>
  <c r="ET18"/>
  <c r="EP18"/>
  <c r="EO18"/>
  <c r="EK18"/>
  <c r="EJ18"/>
  <c r="EF18"/>
  <c r="EE18"/>
  <c r="EA18"/>
  <c r="DZ18"/>
  <c r="DV18"/>
  <c r="HE18" s="1"/>
  <c r="DU18"/>
  <c r="DQ18"/>
  <c r="HD18" s="1"/>
  <c r="DP18"/>
  <c r="DL18"/>
  <c r="DK18"/>
  <c r="DG18"/>
  <c r="DF18"/>
  <c r="DB18"/>
  <c r="DA18"/>
  <c r="CW18"/>
  <c r="CV18"/>
  <c r="CR18"/>
  <c r="CQ18"/>
  <c r="CM18"/>
  <c r="CL18"/>
  <c r="CH18"/>
  <c r="CG18"/>
  <c r="CC18"/>
  <c r="CB18"/>
  <c r="BX18"/>
  <c r="BW18"/>
  <c r="BS18"/>
  <c r="BR18"/>
  <c r="BN18"/>
  <c r="BM18"/>
  <c r="BI18"/>
  <c r="BH18"/>
  <c r="BD18"/>
  <c r="BC18"/>
  <c r="AY18"/>
  <c r="AX18"/>
  <c r="AT18"/>
  <c r="GV18" s="1"/>
  <c r="AS18"/>
  <c r="AO18"/>
  <c r="GU18" s="1"/>
  <c r="AN18"/>
  <c r="AJ18"/>
  <c r="AC18"/>
  <c r="Y18"/>
  <c r="U18"/>
  <c r="Q18"/>
  <c r="GM17"/>
  <c r="GN17" s="1"/>
  <c r="GH17"/>
  <c r="GI17" s="1"/>
  <c r="GC17"/>
  <c r="GD17" s="1"/>
  <c r="FX17"/>
  <c r="FY17" s="1"/>
  <c r="FS17"/>
  <c r="FT17" s="1"/>
  <c r="FN17"/>
  <c r="FO17" s="1"/>
  <c r="FI17"/>
  <c r="FJ17" s="1"/>
  <c r="FD17"/>
  <c r="FE17" s="1"/>
  <c r="EY17"/>
  <c r="EZ17" s="1"/>
  <c r="ET17"/>
  <c r="EU17" s="1"/>
  <c r="EO17"/>
  <c r="EP17" s="1"/>
  <c r="EJ17"/>
  <c r="EK17" s="1"/>
  <c r="EE17"/>
  <c r="EF17" s="1"/>
  <c r="DZ17"/>
  <c r="EA17" s="1"/>
  <c r="DU17"/>
  <c r="DV17" s="1"/>
  <c r="HE17" s="1"/>
  <c r="DP17"/>
  <c r="DQ17" s="1"/>
  <c r="HD17" s="1"/>
  <c r="DK17"/>
  <c r="DL17" s="1"/>
  <c r="DF17"/>
  <c r="DG17" s="1"/>
  <c r="DA17"/>
  <c r="DB17" s="1"/>
  <c r="CV17"/>
  <c r="CW17" s="1"/>
  <c r="CQ17"/>
  <c r="CR17" s="1"/>
  <c r="CL17"/>
  <c r="CM17" s="1"/>
  <c r="CG17"/>
  <c r="CH17" s="1"/>
  <c r="CB17"/>
  <c r="CC17" s="1"/>
  <c r="BW17"/>
  <c r="BX17" s="1"/>
  <c r="BR17"/>
  <c r="BS17" s="1"/>
  <c r="BM17"/>
  <c r="BN17" s="1"/>
  <c r="BH17"/>
  <c r="BI17" s="1"/>
  <c r="BC17"/>
  <c r="BD17" s="1"/>
  <c r="AX17"/>
  <c r="AY17" s="1"/>
  <c r="AS17"/>
  <c r="AT17" s="1"/>
  <c r="GV17" s="1"/>
  <c r="AN17"/>
  <c r="AO17" s="1"/>
  <c r="GU17" s="1"/>
  <c r="AJ17"/>
  <c r="AC17"/>
  <c r="Y17"/>
  <c r="U17"/>
  <c r="Q17"/>
  <c r="GN16"/>
  <c r="GM16"/>
  <c r="GI16"/>
  <c r="GH16"/>
  <c r="GD16"/>
  <c r="GC16"/>
  <c r="FY16"/>
  <c r="FX16"/>
  <c r="FT16"/>
  <c r="FS16"/>
  <c r="FO16"/>
  <c r="FN16"/>
  <c r="FJ16"/>
  <c r="FI16"/>
  <c r="FE16"/>
  <c r="FD16"/>
  <c r="EZ16"/>
  <c r="EY16"/>
  <c r="EU16"/>
  <c r="ET16"/>
  <c r="EP16"/>
  <c r="EO16"/>
  <c r="EK16"/>
  <c r="EJ16"/>
  <c r="EF16"/>
  <c r="EE16"/>
  <c r="EA16"/>
  <c r="DZ16"/>
  <c r="DV16"/>
  <c r="HE16" s="1"/>
  <c r="DU16"/>
  <c r="DQ16"/>
  <c r="HD16" s="1"/>
  <c r="HB16" s="1"/>
  <c r="DP16"/>
  <c r="DL16"/>
  <c r="DK16"/>
  <c r="DG16"/>
  <c r="DF16"/>
  <c r="DB16"/>
  <c r="DA16"/>
  <c r="CW16"/>
  <c r="CV16"/>
  <c r="CR16"/>
  <c r="CQ16"/>
  <c r="CM16"/>
  <c r="CL16"/>
  <c r="CH16"/>
  <c r="CG16"/>
  <c r="CC16"/>
  <c r="CB16"/>
  <c r="BX16"/>
  <c r="BW16"/>
  <c r="BS16"/>
  <c r="BR16"/>
  <c r="BN16"/>
  <c r="BM16"/>
  <c r="BI16"/>
  <c r="BH16"/>
  <c r="BD16"/>
  <c r="BC16"/>
  <c r="AY16"/>
  <c r="AX16"/>
  <c r="AT16"/>
  <c r="GV16" s="1"/>
  <c r="AS16"/>
  <c r="AO16"/>
  <c r="GU16" s="1"/>
  <c r="AN16"/>
  <c r="AJ16"/>
  <c r="AC16"/>
  <c r="Y16"/>
  <c r="U16"/>
  <c r="Q16"/>
  <c r="GM15"/>
  <c r="GN15" s="1"/>
  <c r="GH15"/>
  <c r="GI15" s="1"/>
  <c r="GC15"/>
  <c r="GD15" s="1"/>
  <c r="FX15"/>
  <c r="FY15" s="1"/>
  <c r="FS15"/>
  <c r="FT15" s="1"/>
  <c r="FN15"/>
  <c r="FO15" s="1"/>
  <c r="FI15"/>
  <c r="FJ15" s="1"/>
  <c r="FD15"/>
  <c r="FE15" s="1"/>
  <c r="EY15"/>
  <c r="EZ15" s="1"/>
  <c r="ET15"/>
  <c r="EU15" s="1"/>
  <c r="EO15"/>
  <c r="EP15" s="1"/>
  <c r="EJ15"/>
  <c r="EK15" s="1"/>
  <c r="EE15"/>
  <c r="EF15" s="1"/>
  <c r="DZ15"/>
  <c r="EA15" s="1"/>
  <c r="DU15"/>
  <c r="DV15" s="1"/>
  <c r="DP15"/>
  <c r="DQ15" s="1"/>
  <c r="DK15"/>
  <c r="DL15" s="1"/>
  <c r="DF15"/>
  <c r="DG15" s="1"/>
  <c r="DA15"/>
  <c r="DB15" s="1"/>
  <c r="CV15"/>
  <c r="CW15" s="1"/>
  <c r="CQ15"/>
  <c r="CR15" s="1"/>
  <c r="CL15"/>
  <c r="CM15" s="1"/>
  <c r="CG15"/>
  <c r="CH15" s="1"/>
  <c r="CB15"/>
  <c r="CC15" s="1"/>
  <c r="BW15"/>
  <c r="BX15" s="1"/>
  <c r="BR15"/>
  <c r="BS15" s="1"/>
  <c r="BM15"/>
  <c r="BN15" s="1"/>
  <c r="BH15"/>
  <c r="BI15" s="1"/>
  <c r="BC15"/>
  <c r="BD15" s="1"/>
  <c r="AX15"/>
  <c r="AY15" s="1"/>
  <c r="AS15"/>
  <c r="AT15" s="1"/>
  <c r="AN15"/>
  <c r="AO15" s="1"/>
  <c r="AJ15"/>
  <c r="AC15"/>
  <c r="Y15"/>
  <c r="U15"/>
  <c r="Q15"/>
  <c r="GN14"/>
  <c r="GM14"/>
  <c r="GI14"/>
  <c r="GH14"/>
  <c r="GD14"/>
  <c r="GC14"/>
  <c r="FY14"/>
  <c r="FX14"/>
  <c r="FT14"/>
  <c r="FS14"/>
  <c r="FO14"/>
  <c r="FN14"/>
  <c r="FJ14"/>
  <c r="FI14"/>
  <c r="FE14"/>
  <c r="FD14"/>
  <c r="EZ14"/>
  <c r="EY14"/>
  <c r="EU14"/>
  <c r="ET14"/>
  <c r="EP14"/>
  <c r="EO14"/>
  <c r="EK14"/>
  <c r="EJ14"/>
  <c r="EF14"/>
  <c r="EE14"/>
  <c r="DZ14"/>
  <c r="EA14" s="1"/>
  <c r="DV14"/>
  <c r="HE14" s="1"/>
  <c r="DU14"/>
  <c r="DP14"/>
  <c r="DQ14" s="1"/>
  <c r="DL14"/>
  <c r="DK14"/>
  <c r="DF14"/>
  <c r="DG14" s="1"/>
  <c r="DB14"/>
  <c r="DA14"/>
  <c r="CV14"/>
  <c r="CW14" s="1"/>
  <c r="CR14"/>
  <c r="CQ14"/>
  <c r="CL14"/>
  <c r="CM14" s="1"/>
  <c r="CH14"/>
  <c r="CG14"/>
  <c r="CB14"/>
  <c r="CC14" s="1"/>
  <c r="BX14"/>
  <c r="BW14"/>
  <c r="BR14"/>
  <c r="BS14" s="1"/>
  <c r="BN14"/>
  <c r="BM14"/>
  <c r="BH14"/>
  <c r="BI14" s="1"/>
  <c r="BD14"/>
  <c r="BC14"/>
  <c r="AX14"/>
  <c r="AY14" s="1"/>
  <c r="AT14"/>
  <c r="GV14" s="1"/>
  <c r="AS14"/>
  <c r="AN14"/>
  <c r="AO14" s="1"/>
  <c r="AJ14"/>
  <c r="AC14"/>
  <c r="Y14"/>
  <c r="U14"/>
  <c r="Q14"/>
  <c r="GM13"/>
  <c r="GN13" s="1"/>
  <c r="GI13"/>
  <c r="GH13"/>
  <c r="GC13"/>
  <c r="GD13" s="1"/>
  <c r="FY13"/>
  <c r="FX13"/>
  <c r="FS13"/>
  <c r="FT13" s="1"/>
  <c r="FO13"/>
  <c r="FN13"/>
  <c r="FI13"/>
  <c r="FJ13" s="1"/>
  <c r="FE13"/>
  <c r="FD13"/>
  <c r="EY13"/>
  <c r="EZ13" s="1"/>
  <c r="EU13"/>
  <c r="ET13"/>
  <c r="EO13"/>
  <c r="EP13" s="1"/>
  <c r="EK13"/>
  <c r="EJ13"/>
  <c r="EE13"/>
  <c r="EF13" s="1"/>
  <c r="EA13"/>
  <c r="DZ13"/>
  <c r="DU13"/>
  <c r="DV13" s="1"/>
  <c r="DQ13"/>
  <c r="HD13" s="1"/>
  <c r="DP13"/>
  <c r="DK13"/>
  <c r="DL13" s="1"/>
  <c r="DG13"/>
  <c r="DF13"/>
  <c r="DA13"/>
  <c r="DB13" s="1"/>
  <c r="CW13"/>
  <c r="CV13"/>
  <c r="CQ13"/>
  <c r="CR13" s="1"/>
  <c r="CM13"/>
  <c r="CL13"/>
  <c r="CG13"/>
  <c r="CH13" s="1"/>
  <c r="CC13"/>
  <c r="CB13"/>
  <c r="BW13"/>
  <c r="BX13" s="1"/>
  <c r="BS13"/>
  <c r="BR13"/>
  <c r="BM13"/>
  <c r="BN13" s="1"/>
  <c r="BI13"/>
  <c r="BH13"/>
  <c r="BC13"/>
  <c r="BD13" s="1"/>
  <c r="AY13"/>
  <c r="AX13"/>
  <c r="AS13"/>
  <c r="AT13" s="1"/>
  <c r="AO13"/>
  <c r="GU13" s="1"/>
  <c r="AN13"/>
  <c r="AJ13"/>
  <c r="AC13"/>
  <c r="Y13"/>
  <c r="U13"/>
  <c r="Q13"/>
  <c r="HD12"/>
  <c r="GM12"/>
  <c r="GN12" s="1"/>
  <c r="GI12"/>
  <c r="GH12"/>
  <c r="GC12"/>
  <c r="GD12" s="1"/>
  <c r="FY12"/>
  <c r="FX12"/>
  <c r="FS12"/>
  <c r="FT12" s="1"/>
  <c r="FO12"/>
  <c r="FN12"/>
  <c r="FI12"/>
  <c r="FJ12" s="1"/>
  <c r="FE12"/>
  <c r="FD12"/>
  <c r="EY12"/>
  <c r="EZ12" s="1"/>
  <c r="EU12"/>
  <c r="ET12"/>
  <c r="EO12"/>
  <c r="EP12" s="1"/>
  <c r="EK12"/>
  <c r="EJ12"/>
  <c r="EE12"/>
  <c r="EF12" s="1"/>
  <c r="EA12"/>
  <c r="DZ12"/>
  <c r="DU12"/>
  <c r="DV12" s="1"/>
  <c r="DQ12"/>
  <c r="DP12"/>
  <c r="DK12"/>
  <c r="DL12" s="1"/>
  <c r="DG12"/>
  <c r="DF12"/>
  <c r="DA12"/>
  <c r="DB12" s="1"/>
  <c r="CW12"/>
  <c r="CV12"/>
  <c r="CQ12"/>
  <c r="CR12" s="1"/>
  <c r="CM12"/>
  <c r="CL12"/>
  <c r="CG12"/>
  <c r="CH12" s="1"/>
  <c r="CC12"/>
  <c r="CB12"/>
  <c r="BW12"/>
  <c r="BX12" s="1"/>
  <c r="BS12"/>
  <c r="BR12"/>
  <c r="BM12"/>
  <c r="BN12" s="1"/>
  <c r="BI12"/>
  <c r="BH12"/>
  <c r="BC12"/>
  <c r="BD12" s="1"/>
  <c r="AY12"/>
  <c r="AX12"/>
  <c r="AS12"/>
  <c r="AT12" s="1"/>
  <c r="AO12"/>
  <c r="GU12" s="1"/>
  <c r="AN12"/>
  <c r="AJ12"/>
  <c r="AC12"/>
  <c r="Y12"/>
  <c r="U12"/>
  <c r="Q12"/>
  <c r="GN11"/>
  <c r="GM11"/>
  <c r="GH11"/>
  <c r="GI11" s="1"/>
  <c r="GD11"/>
  <c r="GC11"/>
  <c r="FX11"/>
  <c r="FY11" s="1"/>
  <c r="FT11"/>
  <c r="FS11"/>
  <c r="FN11"/>
  <c r="FO11" s="1"/>
  <c r="FJ11"/>
  <c r="FI11"/>
  <c r="FD11"/>
  <c r="FE11" s="1"/>
  <c r="EZ11"/>
  <c r="EY11"/>
  <c r="ET11"/>
  <c r="EU11" s="1"/>
  <c r="EP11"/>
  <c r="EO11"/>
  <c r="EJ11"/>
  <c r="EK11" s="1"/>
  <c r="EF11"/>
  <c r="EE11"/>
  <c r="DZ11"/>
  <c r="EA11" s="1"/>
  <c r="DV11"/>
  <c r="HE11" s="1"/>
  <c r="DU11"/>
  <c r="DP11"/>
  <c r="DQ11" s="1"/>
  <c r="DL11"/>
  <c r="DK11"/>
  <c r="DF11"/>
  <c r="DG11" s="1"/>
  <c r="DB11"/>
  <c r="DA11"/>
  <c r="CV11"/>
  <c r="CW11" s="1"/>
  <c r="CR11"/>
  <c r="CQ11"/>
  <c r="CL11"/>
  <c r="CM11" s="1"/>
  <c r="CH11"/>
  <c r="CG11"/>
  <c r="CB11"/>
  <c r="CC11" s="1"/>
  <c r="BX11"/>
  <c r="BW11"/>
  <c r="BR11"/>
  <c r="BS11" s="1"/>
  <c r="BN11"/>
  <c r="BM11"/>
  <c r="BH11"/>
  <c r="BI11" s="1"/>
  <c r="BD11"/>
  <c r="BC11"/>
  <c r="AX11"/>
  <c r="AY11" s="1"/>
  <c r="AT11"/>
  <c r="GV11" s="1"/>
  <c r="AS11"/>
  <c r="AN11"/>
  <c r="AO11" s="1"/>
  <c r="AJ11"/>
  <c r="AC11"/>
  <c r="Y11"/>
  <c r="U11"/>
  <c r="Q11"/>
  <c r="GN10"/>
  <c r="GM10"/>
  <c r="GH10"/>
  <c r="GI10" s="1"/>
  <c r="GD10"/>
  <c r="GC10"/>
  <c r="FX10"/>
  <c r="FY10" s="1"/>
  <c r="FT10"/>
  <c r="FS10"/>
  <c r="FN10"/>
  <c r="FO10" s="1"/>
  <c r="FJ10"/>
  <c r="FI10"/>
  <c r="FD10"/>
  <c r="FE10" s="1"/>
  <c r="EZ10"/>
  <c r="EY10"/>
  <c r="ET10"/>
  <c r="EU10" s="1"/>
  <c r="EP10"/>
  <c r="EO10"/>
  <c r="EJ10"/>
  <c r="EK10" s="1"/>
  <c r="EF10"/>
  <c r="EE10"/>
  <c r="DZ10"/>
  <c r="EA10" s="1"/>
  <c r="DV10"/>
  <c r="HE10" s="1"/>
  <c r="DU10"/>
  <c r="DP10"/>
  <c r="DQ10" s="1"/>
  <c r="DL10"/>
  <c r="DK10"/>
  <c r="DF10"/>
  <c r="DG10" s="1"/>
  <c r="DB10"/>
  <c r="DA10"/>
  <c r="CV10"/>
  <c r="CW10" s="1"/>
  <c r="CR10"/>
  <c r="CQ10"/>
  <c r="CL10"/>
  <c r="CM10" s="1"/>
  <c r="CH10"/>
  <c r="CG10"/>
  <c r="CB10"/>
  <c r="CC10" s="1"/>
  <c r="BX10"/>
  <c r="BW10"/>
  <c r="BR10"/>
  <c r="BS10" s="1"/>
  <c r="BN10"/>
  <c r="BM10"/>
  <c r="BH10"/>
  <c r="BI10" s="1"/>
  <c r="BD10"/>
  <c r="BC10"/>
  <c r="AX10"/>
  <c r="AY10" s="1"/>
  <c r="AT10"/>
  <c r="GV10" s="1"/>
  <c r="AS10"/>
  <c r="AN10"/>
  <c r="AO10" s="1"/>
  <c r="AJ10"/>
  <c r="AC10"/>
  <c r="Y10"/>
  <c r="U10"/>
  <c r="Q10"/>
  <c r="GM9"/>
  <c r="GN9" s="1"/>
  <c r="GI9"/>
  <c r="GH9"/>
  <c r="GC9"/>
  <c r="GD9" s="1"/>
  <c r="FY9"/>
  <c r="FX9"/>
  <c r="FS9"/>
  <c r="FT9" s="1"/>
  <c r="FO9"/>
  <c r="FN9"/>
  <c r="FI9"/>
  <c r="FJ9" s="1"/>
  <c r="FE9"/>
  <c r="FD9"/>
  <c r="EY9"/>
  <c r="EZ9" s="1"/>
  <c r="EU9"/>
  <c r="ET9"/>
  <c r="EO9"/>
  <c r="EP9" s="1"/>
  <c r="EK9"/>
  <c r="EJ9"/>
  <c r="EE9"/>
  <c r="EF9" s="1"/>
  <c r="EA9"/>
  <c r="DZ9"/>
  <c r="DU9"/>
  <c r="DV9" s="1"/>
  <c r="DQ9"/>
  <c r="DP9"/>
  <c r="DK9"/>
  <c r="DL9" s="1"/>
  <c r="DG9"/>
  <c r="DF9"/>
  <c r="DA9"/>
  <c r="DB9" s="1"/>
  <c r="CW9"/>
  <c r="CV9"/>
  <c r="CQ9"/>
  <c r="CR9" s="1"/>
  <c r="CM9"/>
  <c r="CL9"/>
  <c r="CG9"/>
  <c r="CH9" s="1"/>
  <c r="CC9"/>
  <c r="CB9"/>
  <c r="BW9"/>
  <c r="BX9" s="1"/>
  <c r="BS9"/>
  <c r="BR9"/>
  <c r="BM9"/>
  <c r="BN9" s="1"/>
  <c r="BI9"/>
  <c r="BH9"/>
  <c r="BC9"/>
  <c r="BD9" s="1"/>
  <c r="AY9"/>
  <c r="GU9" s="1"/>
  <c r="AX9"/>
  <c r="AS9"/>
  <c r="AT9" s="1"/>
  <c r="AO9"/>
  <c r="AN9"/>
  <c r="AJ9"/>
  <c r="AC9"/>
  <c r="Y9"/>
  <c r="U9"/>
  <c r="Q9"/>
  <c r="HD8"/>
  <c r="GM8"/>
  <c r="GN8" s="1"/>
  <c r="GI8"/>
  <c r="GH8"/>
  <c r="GC8"/>
  <c r="GD8" s="1"/>
  <c r="FY8"/>
  <c r="FX8"/>
  <c r="FS8"/>
  <c r="FT8" s="1"/>
  <c r="FO8"/>
  <c r="FN8"/>
  <c r="FI8"/>
  <c r="FJ8" s="1"/>
  <c r="FE8"/>
  <c r="FD8"/>
  <c r="EY8"/>
  <c r="EZ8" s="1"/>
  <c r="EU8"/>
  <c r="ET8"/>
  <c r="EO8"/>
  <c r="EP8" s="1"/>
  <c r="EK8"/>
  <c r="EJ8"/>
  <c r="EE8"/>
  <c r="EF8" s="1"/>
  <c r="EA8"/>
  <c r="DZ8"/>
  <c r="DU8"/>
  <c r="DV8" s="1"/>
  <c r="DQ8"/>
  <c r="DP8"/>
  <c r="DK8"/>
  <c r="DL8" s="1"/>
  <c r="DG8"/>
  <c r="DF8"/>
  <c r="DA8"/>
  <c r="DB8" s="1"/>
  <c r="CW8"/>
  <c r="CV8"/>
  <c r="CQ8"/>
  <c r="CR8" s="1"/>
  <c r="CM8"/>
  <c r="CL8"/>
  <c r="CG8"/>
  <c r="CH8" s="1"/>
  <c r="CC8"/>
  <c r="CB8"/>
  <c r="BW8"/>
  <c r="BX8" s="1"/>
  <c r="BS8"/>
  <c r="BR8"/>
  <c r="BM8"/>
  <c r="BN8" s="1"/>
  <c r="BI8"/>
  <c r="BH8"/>
  <c r="BC8"/>
  <c r="BD8" s="1"/>
  <c r="AY8"/>
  <c r="AX8"/>
  <c r="AS8"/>
  <c r="AT8" s="1"/>
  <c r="GV8" s="1"/>
  <c r="AO8"/>
  <c r="GU8" s="1"/>
  <c r="AN8"/>
  <c r="AJ8"/>
  <c r="AC8"/>
  <c r="Y8"/>
  <c r="U8"/>
  <c r="Q8"/>
  <c r="GN7"/>
  <c r="GM7"/>
  <c r="GH7"/>
  <c r="GI7" s="1"/>
  <c r="GD7"/>
  <c r="GC7"/>
  <c r="FX7"/>
  <c r="FY7" s="1"/>
  <c r="FT7"/>
  <c r="FS7"/>
  <c r="FN7"/>
  <c r="FO7" s="1"/>
  <c r="FJ7"/>
  <c r="FI7"/>
  <c r="FD7"/>
  <c r="FE7" s="1"/>
  <c r="EZ7"/>
  <c r="EY7"/>
  <c r="ET7"/>
  <c r="EU7" s="1"/>
  <c r="EP7"/>
  <c r="EO7"/>
  <c r="EJ7"/>
  <c r="EK7" s="1"/>
  <c r="EF7"/>
  <c r="EE7"/>
  <c r="DZ7"/>
  <c r="EA7" s="1"/>
  <c r="DV7"/>
  <c r="HE7" s="1"/>
  <c r="DU7"/>
  <c r="DP7"/>
  <c r="DQ7" s="1"/>
  <c r="DL7"/>
  <c r="DK7"/>
  <c r="DF7"/>
  <c r="DG7" s="1"/>
  <c r="DB7"/>
  <c r="DA7"/>
  <c r="CV7"/>
  <c r="CW7" s="1"/>
  <c r="CR7"/>
  <c r="CQ7"/>
  <c r="CL7"/>
  <c r="CM7" s="1"/>
  <c r="CH7"/>
  <c r="CG7"/>
  <c r="CB7"/>
  <c r="CC7" s="1"/>
  <c r="BX7"/>
  <c r="BW7"/>
  <c r="BR7"/>
  <c r="BS7" s="1"/>
  <c r="BN7"/>
  <c r="BM7"/>
  <c r="BH7"/>
  <c r="BI7" s="1"/>
  <c r="BD7"/>
  <c r="BC7"/>
  <c r="AX7"/>
  <c r="AY7" s="1"/>
  <c r="AT7"/>
  <c r="GV7" s="1"/>
  <c r="AS7"/>
  <c r="AN7"/>
  <c r="AO7" s="1"/>
  <c r="AJ7"/>
  <c r="AC7"/>
  <c r="Y7"/>
  <c r="U7"/>
  <c r="Q7"/>
  <c r="GN6"/>
  <c r="GM6"/>
  <c r="GH6"/>
  <c r="GI6" s="1"/>
  <c r="GD6"/>
  <c r="GC6"/>
  <c r="FX6"/>
  <c r="FY6" s="1"/>
  <c r="FT6"/>
  <c r="FS6"/>
  <c r="FN6"/>
  <c r="FO6" s="1"/>
  <c r="FJ6"/>
  <c r="FI6"/>
  <c r="FD6"/>
  <c r="FE6" s="1"/>
  <c r="EZ6"/>
  <c r="EY6"/>
  <c r="ET6"/>
  <c r="EU6" s="1"/>
  <c r="EP6"/>
  <c r="EO6"/>
  <c r="EJ6"/>
  <c r="EK6" s="1"/>
  <c r="EF6"/>
  <c r="EE6"/>
  <c r="DZ6"/>
  <c r="EA6" s="1"/>
  <c r="DV6"/>
  <c r="DU6"/>
  <c r="DP6"/>
  <c r="DQ6" s="1"/>
  <c r="DL6"/>
  <c r="DK6"/>
  <c r="DF6"/>
  <c r="DG6" s="1"/>
  <c r="DB6"/>
  <c r="DA6"/>
  <c r="CV6"/>
  <c r="CW6" s="1"/>
  <c r="CR6"/>
  <c r="CQ6"/>
  <c r="CL6"/>
  <c r="CM6" s="1"/>
  <c r="CH6"/>
  <c r="CG6"/>
  <c r="CB6"/>
  <c r="CC6" s="1"/>
  <c r="BX6"/>
  <c r="BW6"/>
  <c r="BR6"/>
  <c r="BS6" s="1"/>
  <c r="BN6"/>
  <c r="BM6"/>
  <c r="BH6"/>
  <c r="BI6" s="1"/>
  <c r="BD6"/>
  <c r="BC6"/>
  <c r="AX6"/>
  <c r="AY6" s="1"/>
  <c r="AT6"/>
  <c r="GV6" s="1"/>
  <c r="AS6"/>
  <c r="AN6"/>
  <c r="AO6" s="1"/>
  <c r="GU6" s="1"/>
  <c r="AJ6"/>
  <c r="AC6"/>
  <c r="Y6"/>
  <c r="U6"/>
  <c r="Q6"/>
  <c r="GM5"/>
  <c r="GN5" s="1"/>
  <c r="GI5"/>
  <c r="GH5"/>
  <c r="GC5"/>
  <c r="GD5" s="1"/>
  <c r="FX5"/>
  <c r="FY5" s="1"/>
  <c r="FS5"/>
  <c r="FT5" s="1"/>
  <c r="FN5"/>
  <c r="FO5" s="1"/>
  <c r="FI5"/>
  <c r="FJ5" s="1"/>
  <c r="FE5"/>
  <c r="FD5"/>
  <c r="EY5"/>
  <c r="EZ5" s="1"/>
  <c r="EU5"/>
  <c r="ET5"/>
  <c r="EO5"/>
  <c r="EP5" s="1"/>
  <c r="EJ5"/>
  <c r="EK5" s="1"/>
  <c r="EE5"/>
  <c r="EF5" s="1"/>
  <c r="DZ5"/>
  <c r="EA5" s="1"/>
  <c r="DU5"/>
  <c r="DV5" s="1"/>
  <c r="HE5" s="1"/>
  <c r="DQ5"/>
  <c r="DP5"/>
  <c r="DK5"/>
  <c r="DL5" s="1"/>
  <c r="DG5"/>
  <c r="DF5"/>
  <c r="DA5"/>
  <c r="DB5" s="1"/>
  <c r="CV5"/>
  <c r="CW5" s="1"/>
  <c r="CQ5"/>
  <c r="CR5" s="1"/>
  <c r="CL5"/>
  <c r="CM5" s="1"/>
  <c r="CG5"/>
  <c r="CH5" s="1"/>
  <c r="CC5"/>
  <c r="CB5"/>
  <c r="BW5"/>
  <c r="BX5" s="1"/>
  <c r="BS5"/>
  <c r="BR5"/>
  <c r="BM5"/>
  <c r="BN5" s="1"/>
  <c r="BH5"/>
  <c r="BI5" s="1"/>
  <c r="BC5"/>
  <c r="BD5" s="1"/>
  <c r="AX5"/>
  <c r="AY5" s="1"/>
  <c r="AS5"/>
  <c r="AT5" s="1"/>
  <c r="GV5" s="1"/>
  <c r="AO5"/>
  <c r="GU5" s="1"/>
  <c r="AN5"/>
  <c r="AJ5"/>
  <c r="AC5"/>
  <c r="Y5"/>
  <c r="U5"/>
  <c r="Q5"/>
  <c r="GM4"/>
  <c r="GN4" s="1"/>
  <c r="GI4"/>
  <c r="GH4"/>
  <c r="GC4"/>
  <c r="GD4" s="1"/>
  <c r="FY4"/>
  <c r="FX4"/>
  <c r="FS4"/>
  <c r="FT4" s="1"/>
  <c r="FO4"/>
  <c r="FN4"/>
  <c r="FI4"/>
  <c r="FJ4" s="1"/>
  <c r="FE4"/>
  <c r="FD4"/>
  <c r="EY4"/>
  <c r="EZ4" s="1"/>
  <c r="EU4"/>
  <c r="ET4"/>
  <c r="EO4"/>
  <c r="EP4" s="1"/>
  <c r="EK4"/>
  <c r="EJ4"/>
  <c r="EE4"/>
  <c r="EF4" s="1"/>
  <c r="EA4"/>
  <c r="DZ4"/>
  <c r="DU4"/>
  <c r="DV4" s="1"/>
  <c r="HE4" s="1"/>
  <c r="DQ4"/>
  <c r="HD4" s="1"/>
  <c r="DP4"/>
  <c r="DK4"/>
  <c r="DL4" s="1"/>
  <c r="DG4"/>
  <c r="DF4"/>
  <c r="DA4"/>
  <c r="DB4" s="1"/>
  <c r="CW4"/>
  <c r="CV4"/>
  <c r="CQ4"/>
  <c r="CR4" s="1"/>
  <c r="CM4"/>
  <c r="CL4"/>
  <c r="CG4"/>
  <c r="CH4" s="1"/>
  <c r="CC4"/>
  <c r="CB4"/>
  <c r="BW4"/>
  <c r="BX4" s="1"/>
  <c r="BS4"/>
  <c r="BR4"/>
  <c r="BM4"/>
  <c r="BN4" s="1"/>
  <c r="BI4"/>
  <c r="BH4"/>
  <c r="BC4"/>
  <c r="BD4" s="1"/>
  <c r="AY4"/>
  <c r="AX4"/>
  <c r="AS4"/>
  <c r="AT4" s="1"/>
  <c r="GV4" s="1"/>
  <c r="AO4"/>
  <c r="GU4" s="1"/>
  <c r="AN4"/>
  <c r="AJ4"/>
  <c r="AC4"/>
  <c r="Y4"/>
  <c r="U4"/>
  <c r="Q4"/>
  <c r="GN3"/>
  <c r="GM3"/>
  <c r="GH3"/>
  <c r="GI3" s="1"/>
  <c r="GD3"/>
  <c r="GC3"/>
  <c r="FX3"/>
  <c r="FY3" s="1"/>
  <c r="FS3"/>
  <c r="FT3" s="1"/>
  <c r="FN3"/>
  <c r="FO3" s="1"/>
  <c r="FI3"/>
  <c r="FJ3" s="1"/>
  <c r="FD3"/>
  <c r="FE3" s="1"/>
  <c r="EZ3"/>
  <c r="EY3"/>
  <c r="ET3"/>
  <c r="EU3" s="1"/>
  <c r="EP3"/>
  <c r="EO3"/>
  <c r="EJ3"/>
  <c r="EK3" s="1"/>
  <c r="EE3"/>
  <c r="EF3" s="1"/>
  <c r="DZ3"/>
  <c r="EA3" s="1"/>
  <c r="DU3"/>
  <c r="DV3" s="1"/>
  <c r="DP3"/>
  <c r="DQ3" s="1"/>
  <c r="HD3" s="1"/>
  <c r="DL3"/>
  <c r="DK3"/>
  <c r="DF3"/>
  <c r="DG3" s="1"/>
  <c r="DB3"/>
  <c r="DA3"/>
  <c r="CV3"/>
  <c r="CW3" s="1"/>
  <c r="CQ3"/>
  <c r="CR3" s="1"/>
  <c r="CL3"/>
  <c r="CM3" s="1"/>
  <c r="CG3"/>
  <c r="CH3" s="1"/>
  <c r="CB3"/>
  <c r="CC3" s="1"/>
  <c r="BX3"/>
  <c r="BW3"/>
  <c r="BR3"/>
  <c r="BS3" s="1"/>
  <c r="BN3"/>
  <c r="BM3"/>
  <c r="BH3"/>
  <c r="BI3" s="1"/>
  <c r="BC3"/>
  <c r="BD3" s="1"/>
  <c r="AY3"/>
  <c r="AX3"/>
  <c r="AS3"/>
  <c r="AT3" s="1"/>
  <c r="AO3"/>
  <c r="AN3"/>
  <c r="AJ3"/>
  <c r="AC3"/>
  <c r="Y3"/>
  <c r="U3"/>
  <c r="Q3"/>
  <c r="GM2"/>
  <c r="GN2" s="1"/>
  <c r="GI2"/>
  <c r="GH2"/>
  <c r="GC2"/>
  <c r="GD2" s="1"/>
  <c r="FY2"/>
  <c r="FX2"/>
  <c r="FS2"/>
  <c r="FT2" s="1"/>
  <c r="FO2"/>
  <c r="FN2"/>
  <c r="FI2"/>
  <c r="FJ2" s="1"/>
  <c r="FE2"/>
  <c r="FD2"/>
  <c r="EY2"/>
  <c r="EZ2" s="1"/>
  <c r="EU2"/>
  <c r="ET2"/>
  <c r="EO2"/>
  <c r="EP2" s="1"/>
  <c r="EK2"/>
  <c r="EJ2"/>
  <c r="EE2"/>
  <c r="EF2" s="1"/>
  <c r="EA2"/>
  <c r="DZ2"/>
  <c r="DU2"/>
  <c r="DV2" s="1"/>
  <c r="HE2" s="1"/>
  <c r="DQ2"/>
  <c r="DP2"/>
  <c r="DK2"/>
  <c r="DL2" s="1"/>
  <c r="DG2"/>
  <c r="DF2"/>
  <c r="DA2"/>
  <c r="DB2" s="1"/>
  <c r="CW2"/>
  <c r="CV2"/>
  <c r="CQ2"/>
  <c r="CR2" s="1"/>
  <c r="CM2"/>
  <c r="CL2"/>
  <c r="CG2"/>
  <c r="CH2" s="1"/>
  <c r="CC2"/>
  <c r="CB2"/>
  <c r="BW2"/>
  <c r="BX2" s="1"/>
  <c r="BS2"/>
  <c r="BR2"/>
  <c r="BM2"/>
  <c r="BN2" s="1"/>
  <c r="BI2"/>
  <c r="BH2"/>
  <c r="BC2"/>
  <c r="BD2" s="1"/>
  <c r="AY2"/>
  <c r="AX2"/>
  <c r="AS2"/>
  <c r="AT2" s="1"/>
  <c r="GV2" s="1"/>
  <c r="AO2"/>
  <c r="AN2"/>
  <c r="AJ2"/>
  <c r="AC2"/>
  <c r="Y2"/>
  <c r="U2"/>
  <c r="Q2"/>
  <c r="GW5" l="1"/>
  <c r="HB4"/>
  <c r="GW4"/>
  <c r="HD5"/>
  <c r="HB5" s="1"/>
  <c r="HB2"/>
  <c r="HE3"/>
  <c r="HB3" s="1"/>
  <c r="GW6"/>
  <c r="GV3"/>
  <c r="GW12"/>
  <c r="GW16"/>
  <c r="GW17"/>
  <c r="GW20"/>
  <c r="GW21"/>
  <c r="GW24"/>
  <c r="GW25"/>
  <c r="GW8"/>
  <c r="GU3"/>
  <c r="HD6"/>
  <c r="HE8"/>
  <c r="HB8" s="1"/>
  <c r="GU10"/>
  <c r="HD10"/>
  <c r="HB10" s="1"/>
  <c r="HB21"/>
  <c r="GU7"/>
  <c r="GS5" s="1"/>
  <c r="HD7"/>
  <c r="HB7" s="1"/>
  <c r="GV9"/>
  <c r="GW9" s="1"/>
  <c r="HE9"/>
  <c r="GU11"/>
  <c r="HD11"/>
  <c r="HB11" s="1"/>
  <c r="GU14"/>
  <c r="HD14"/>
  <c r="HB14" s="1"/>
  <c r="GV15"/>
  <c r="HE15"/>
  <c r="GV19"/>
  <c r="HE19"/>
  <c r="GV23"/>
  <c r="HE23"/>
  <c r="GV27"/>
  <c r="HE27"/>
  <c r="GW18"/>
  <c r="GW22"/>
  <c r="GW26"/>
  <c r="HE21"/>
  <c r="HE25"/>
  <c r="HB25" s="1"/>
  <c r="GV13"/>
  <c r="HE13"/>
  <c r="HB13" s="1"/>
  <c r="HB17"/>
  <c r="HE6"/>
  <c r="HD9"/>
  <c r="HB9" s="1"/>
  <c r="GV12"/>
  <c r="GS12" s="1"/>
  <c r="HE12"/>
  <c r="HB12" s="1"/>
  <c r="GU15"/>
  <c r="HD15"/>
  <c r="HB15" s="1"/>
  <c r="HB18"/>
  <c r="GU19"/>
  <c r="GS17" s="1"/>
  <c r="HD19"/>
  <c r="HB19" s="1"/>
  <c r="HB22"/>
  <c r="GU23"/>
  <c r="HD23"/>
  <c r="HB23" s="1"/>
  <c r="HB26"/>
  <c r="GU27"/>
  <c r="GS25" s="1"/>
  <c r="HD27"/>
  <c r="HB27" s="1"/>
  <c r="GS23" l="1"/>
  <c r="GW23"/>
  <c r="GW10"/>
  <c r="GS10"/>
  <c r="GW13"/>
  <c r="GS9"/>
  <c r="GS26"/>
  <c r="GS18"/>
  <c r="GS13"/>
  <c r="GS21"/>
  <c r="GS4"/>
  <c r="GS3"/>
  <c r="GW3"/>
  <c r="GS27"/>
  <c r="GW27"/>
  <c r="GS19"/>
  <c r="GW19"/>
  <c r="GW14"/>
  <c r="GS14"/>
  <c r="GS7"/>
  <c r="GW7"/>
  <c r="GS15"/>
  <c r="GW15"/>
  <c r="GS11"/>
  <c r="GW11"/>
  <c r="GS22"/>
  <c r="HB6"/>
  <c r="GS8"/>
  <c r="GS24"/>
  <c r="GS20"/>
  <c r="GS16"/>
  <c r="GS6"/>
  <c r="GY2" l="1"/>
</calcChain>
</file>

<file path=xl/sharedStrings.xml><?xml version="1.0" encoding="utf-8"?>
<sst xmlns="http://schemas.openxmlformats.org/spreadsheetml/2006/main" count="449" uniqueCount="248">
  <si>
    <t>a</t>
  </si>
  <si>
    <t>age</t>
  </si>
  <si>
    <t>gender</t>
  </si>
  <si>
    <t>weight</t>
  </si>
  <si>
    <t>height</t>
  </si>
  <si>
    <t>leglength</t>
  </si>
  <si>
    <t>injury</t>
  </si>
  <si>
    <t>sport</t>
  </si>
  <si>
    <t>vertigo</t>
  </si>
  <si>
    <t>concussion</t>
  </si>
  <si>
    <t>experience</t>
  </si>
  <si>
    <t>eyesight</t>
  </si>
  <si>
    <t>dataagree</t>
  </si>
  <si>
    <t>dr1</t>
  </si>
  <si>
    <t>dr2</t>
  </si>
  <si>
    <t>dr3</t>
  </si>
  <si>
    <t>dorsiflexion_right</t>
  </si>
  <si>
    <t>dl1</t>
  </si>
  <si>
    <t>dl2</t>
  </si>
  <si>
    <t>dl3</t>
  </si>
  <si>
    <t>dorsiflexion_left</t>
  </si>
  <si>
    <t>pr1</t>
  </si>
  <si>
    <t>pr2</t>
  </si>
  <si>
    <t>pr3</t>
  </si>
  <si>
    <t>plantarflexion_right</t>
  </si>
  <si>
    <t>pl1</t>
  </si>
  <si>
    <t>pl2</t>
  </si>
  <si>
    <t>pl3</t>
  </si>
  <si>
    <t>plantarflexion_left</t>
  </si>
  <si>
    <t>doublelegstance1</t>
  </si>
  <si>
    <t>singlelegstance1</t>
  </si>
  <si>
    <t>tandemstance1</t>
  </si>
  <si>
    <t>doublelegstance2</t>
  </si>
  <si>
    <t>singlelegstance2</t>
  </si>
  <si>
    <t>tandemstance2</t>
  </si>
  <si>
    <t>total_points_pb(1st_test)</t>
  </si>
  <si>
    <t>L1anterior</t>
  </si>
  <si>
    <t>L2anterior</t>
  </si>
  <si>
    <t>L3anterior</t>
  </si>
  <si>
    <t>average_left_anterior</t>
  </si>
  <si>
    <t>Norm_left_anterior</t>
  </si>
  <si>
    <t>R1anterior</t>
  </si>
  <si>
    <t>R2anterior</t>
  </si>
  <si>
    <t>R3anterior</t>
  </si>
  <si>
    <t>average_right_anterior</t>
  </si>
  <si>
    <t>Norm_right_anterior</t>
  </si>
  <si>
    <t>L1anteriormedial</t>
  </si>
  <si>
    <t>L2anteriormedial</t>
  </si>
  <si>
    <t>L3anteriormedial</t>
  </si>
  <si>
    <t>average_left_anteriormedial</t>
  </si>
  <si>
    <t>Normalization_left_anteriormedial</t>
  </si>
  <si>
    <t>R1anteriormedial</t>
  </si>
  <si>
    <t>R2anteriormedial</t>
  </si>
  <si>
    <t>R3anteriormedial</t>
  </si>
  <si>
    <t>average_right_anteriormedial</t>
  </si>
  <si>
    <t>Norm_right_anteriormedia</t>
  </si>
  <si>
    <t>L1medial</t>
  </si>
  <si>
    <t>L2medial</t>
  </si>
  <si>
    <t>L3medial</t>
  </si>
  <si>
    <t>average_left_medial</t>
  </si>
  <si>
    <t>Norm_left_medial</t>
  </si>
  <si>
    <t>R1medial</t>
  </si>
  <si>
    <t>R2medial</t>
  </si>
  <si>
    <t>R3medial</t>
  </si>
  <si>
    <t>average_right_medial</t>
  </si>
  <si>
    <t>Norm_right_medial</t>
  </si>
  <si>
    <t>L1posteromedial</t>
  </si>
  <si>
    <t>L2posteromedial</t>
  </si>
  <si>
    <t>L3posteromedial</t>
  </si>
  <si>
    <t>average_right_posteromedial</t>
  </si>
  <si>
    <t>Norm_right_posteromedial</t>
  </si>
  <si>
    <t>R1posteromedial</t>
  </si>
  <si>
    <t>R2posteromedial</t>
  </si>
  <si>
    <t>R3posteromedial</t>
  </si>
  <si>
    <t>average_left_posteromedial</t>
  </si>
  <si>
    <t>Norm_left_posteromedial</t>
  </si>
  <si>
    <t>L1posterior</t>
  </si>
  <si>
    <t>L2posterior</t>
  </si>
  <si>
    <t>L3posterior</t>
  </si>
  <si>
    <t>average_left_posterior</t>
  </si>
  <si>
    <t>Norm_left_posterior</t>
  </si>
  <si>
    <t>R1posterior</t>
  </si>
  <si>
    <t>R2posterior</t>
  </si>
  <si>
    <t>R3posterior</t>
  </si>
  <si>
    <t>average_right_posterior</t>
  </si>
  <si>
    <t>Norm_right_posterior</t>
  </si>
  <si>
    <t>L1posterorateral</t>
  </si>
  <si>
    <t>L2posterorateral</t>
  </si>
  <si>
    <t>L3posterorateral</t>
  </si>
  <si>
    <t>average_left_posterolateral</t>
  </si>
  <si>
    <t>Norm_left_posterolateral</t>
  </si>
  <si>
    <t>R1posterorateral</t>
  </si>
  <si>
    <t>R2posterorateral</t>
  </si>
  <si>
    <t>R3posterorateral</t>
  </si>
  <si>
    <t>average_right_posterolateral</t>
  </si>
  <si>
    <t>Norm_right_posterolateral</t>
  </si>
  <si>
    <t>L1lateral</t>
  </si>
  <si>
    <t>L2lateral</t>
  </si>
  <si>
    <t>L3lateral</t>
  </si>
  <si>
    <t>average_left_lateral</t>
  </si>
  <si>
    <t>Norm_left_lateral</t>
  </si>
  <si>
    <t>R1lateral</t>
  </si>
  <si>
    <t>R2lateral</t>
  </si>
  <si>
    <t>R3lateral</t>
  </si>
  <si>
    <t>average_right_lateral</t>
  </si>
  <si>
    <t>Norm_right_lateral</t>
  </si>
  <si>
    <t>L1anterolateral</t>
  </si>
  <si>
    <t>L2anterolateral</t>
  </si>
  <si>
    <t>L3anterolateral</t>
  </si>
  <si>
    <t>average_left_anterolateral</t>
  </si>
  <si>
    <t>Norm_left_anterolateral</t>
  </si>
  <si>
    <t>R1anterolateral</t>
  </si>
  <si>
    <t>R2anterolateral</t>
  </si>
  <si>
    <t>R3anterolateral</t>
  </si>
  <si>
    <t>average_right_anterolateral</t>
  </si>
  <si>
    <t>Norm_right_anterolateral</t>
  </si>
  <si>
    <t>FL1anterior</t>
  </si>
  <si>
    <t>FL2anterior</t>
  </si>
  <si>
    <t>FL3anterior</t>
  </si>
  <si>
    <t>average_left_fanterior</t>
  </si>
  <si>
    <t>Norm_left_fanterior</t>
  </si>
  <si>
    <t>FR1anterior</t>
  </si>
  <si>
    <t>FR2anterior</t>
  </si>
  <si>
    <t>FR3anterior</t>
  </si>
  <si>
    <t>average_right_fanterior</t>
  </si>
  <si>
    <t>Norm_right_fanterior</t>
  </si>
  <si>
    <t>FL1anteriormedial</t>
  </si>
  <si>
    <t>FL2anteriormedial</t>
  </si>
  <si>
    <t>FL3anteriormedial</t>
  </si>
  <si>
    <t>average_left_fanteriormedial</t>
  </si>
  <si>
    <t>Norm_left_fanteriormedial</t>
  </si>
  <si>
    <t>FR1anteriormedial</t>
  </si>
  <si>
    <t>FR2anteriormedial</t>
  </si>
  <si>
    <t>FR3anteriormedial</t>
  </si>
  <si>
    <t>average_right_fanteriormedial</t>
  </si>
  <si>
    <t>Norm_right_fanteriormedial</t>
  </si>
  <si>
    <t>FL1medial</t>
  </si>
  <si>
    <t>FL2medial</t>
  </si>
  <si>
    <t>FL3medial</t>
  </si>
  <si>
    <t>average_left_fmedial</t>
  </si>
  <si>
    <t>Norm_left_fmedial</t>
  </si>
  <si>
    <t>FR1medial</t>
  </si>
  <si>
    <t>FR2medial</t>
  </si>
  <si>
    <t>FR3medial</t>
  </si>
  <si>
    <t>average_right_fmedial</t>
  </si>
  <si>
    <t>Norm_right_fmedial</t>
  </si>
  <si>
    <t>FL1posteromedial</t>
  </si>
  <si>
    <t>FL2posteromedial</t>
  </si>
  <si>
    <t>FL3posteromedial</t>
  </si>
  <si>
    <t>average_left_fposteromedial</t>
  </si>
  <si>
    <t>Norm_left_fposteromedial</t>
  </si>
  <si>
    <t>FR1posteromedial</t>
  </si>
  <si>
    <t>FR2posteromedial</t>
  </si>
  <si>
    <t>FR3posteromedial</t>
  </si>
  <si>
    <t>average_right_fposteromedial</t>
  </si>
  <si>
    <t>Norm_right_fposteromedial</t>
  </si>
  <si>
    <t>FL1posterior</t>
  </si>
  <si>
    <t>FL2posterior</t>
  </si>
  <si>
    <t>FL3posterior</t>
  </si>
  <si>
    <t>average_left_fposterior</t>
  </si>
  <si>
    <t>Norm_left_fposterior</t>
  </si>
  <si>
    <t>FR1posterior</t>
  </si>
  <si>
    <t>FR2posterior</t>
  </si>
  <si>
    <t>FR3posterior</t>
  </si>
  <si>
    <t>average_right_fposterior</t>
  </si>
  <si>
    <t>Norm_right_fposterior</t>
  </si>
  <si>
    <t>FL1posterorateral</t>
  </si>
  <si>
    <t>FL2posterorateral</t>
  </si>
  <si>
    <t>FL3posterorateral</t>
  </si>
  <si>
    <t>average_left_fposterorateral</t>
  </si>
  <si>
    <t>Norm_left_fposterorateral</t>
  </si>
  <si>
    <t>FR1posterorateral</t>
  </si>
  <si>
    <t>FR2posterorateral</t>
  </si>
  <si>
    <t>FR3posterorateral</t>
  </si>
  <si>
    <t>average_right_fposterorateral</t>
  </si>
  <si>
    <t>Norm_right_fposterorateral</t>
  </si>
  <si>
    <t>FL1lateral</t>
  </si>
  <si>
    <t>FL2lateral</t>
  </si>
  <si>
    <t>FL3lateral</t>
  </si>
  <si>
    <t>average_left_flateral</t>
  </si>
  <si>
    <t>Norm_left_flateral</t>
  </si>
  <si>
    <t>FR1lateral</t>
  </si>
  <si>
    <t>FR2lateral</t>
  </si>
  <si>
    <t>FR3lateral</t>
  </si>
  <si>
    <t>average_right_flateral</t>
  </si>
  <si>
    <t>Norm_right_flateral</t>
  </si>
  <si>
    <t>FL1anterolateral</t>
  </si>
  <si>
    <t>FL2anterolateral</t>
  </si>
  <si>
    <t>FL3anterolateral</t>
  </si>
  <si>
    <t>average_left_fanterolateral</t>
  </si>
  <si>
    <t>Norm_left_fanterolateral</t>
  </si>
  <si>
    <t>FR1anterolateral</t>
  </si>
  <si>
    <t>FR2anterolateral</t>
  </si>
  <si>
    <t>FR3anterolateral</t>
  </si>
  <si>
    <t>average_right_fanterolateral</t>
  </si>
  <si>
    <t>Norm_right_fanterolateral</t>
  </si>
  <si>
    <t>dorsiflexio_final</t>
  </si>
  <si>
    <t>mobility_group</t>
  </si>
  <si>
    <t xml:space="preserve">symmetry_Anterior_Stable </t>
  </si>
  <si>
    <t xml:space="preserve">Anterior_Asymmetry </t>
  </si>
  <si>
    <t>Stability_Index_Anterior</t>
  </si>
  <si>
    <t>Asymmetry_Anterior_Foam</t>
  </si>
  <si>
    <t>s24</t>
  </si>
  <si>
    <t>male</t>
  </si>
  <si>
    <t>no</t>
  </si>
  <si>
    <t>handball</t>
  </si>
  <si>
    <t>good</t>
  </si>
  <si>
    <t>yes</t>
  </si>
  <si>
    <t>inflexible</t>
  </si>
  <si>
    <t>s25</t>
  </si>
  <si>
    <t>s26</t>
  </si>
  <si>
    <t>s21</t>
  </si>
  <si>
    <t>s23</t>
  </si>
  <si>
    <t>s3</t>
  </si>
  <si>
    <t>s15</t>
  </si>
  <si>
    <t>s9</t>
  </si>
  <si>
    <t>s7</t>
  </si>
  <si>
    <t>s4</t>
  </si>
  <si>
    <t>s11</t>
  </si>
  <si>
    <t>s22</t>
  </si>
  <si>
    <t>s20</t>
  </si>
  <si>
    <t>s18</t>
  </si>
  <si>
    <t>flexible</t>
  </si>
  <si>
    <t>s16</t>
  </si>
  <si>
    <t>s12</t>
  </si>
  <si>
    <t>s5</t>
  </si>
  <si>
    <t>s8</t>
  </si>
  <si>
    <t>s13</t>
  </si>
  <si>
    <t>s2</t>
  </si>
  <si>
    <t>s10</t>
  </si>
  <si>
    <t>s19</t>
  </si>
  <si>
    <t>s17</t>
  </si>
  <si>
    <t>s14</t>
  </si>
  <si>
    <t>s6</t>
  </si>
  <si>
    <t>s1</t>
  </si>
  <si>
    <t>inflexible_average_mobility</t>
  </si>
  <si>
    <t>flexible_average_mobility</t>
  </si>
  <si>
    <t>average_8directions_left</t>
  </si>
  <si>
    <t>average_8directions_right</t>
  </si>
  <si>
    <t>average_assymetry_directions_leftright</t>
  </si>
  <si>
    <t>composite_assymetry_bothlegs_sum_inflexible</t>
  </si>
  <si>
    <t>composite_assymetry_bothlegs_sum_flexible</t>
  </si>
  <si>
    <t>average_8directions_left_foam</t>
  </si>
  <si>
    <t>average_8directions_right_foam</t>
  </si>
  <si>
    <t>composite_assymetry_bothlegs_sum_inflexible_foam</t>
  </si>
  <si>
    <t>composite_assymetry_sum_flexf</t>
  </si>
  <si>
    <t>anterior_Asymmetry_Foam</t>
  </si>
  <si>
    <t>composite_assymetry_sum_inflexf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</si>
</sst>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rgb="FF0000FF"/>
      <name val="Calibri"/>
    </font>
    <font>
      <sz val="11"/>
      <color rgb="FF00FF00"/>
      <name val="Calibri"/>
    </font>
    <font>
      <b/>
      <i/>
      <sz val="11"/>
      <color rgb="FF274E13"/>
      <name val="Calibri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FF00FF"/>
      <name val="Arial"/>
      <scheme val="minor"/>
    </font>
    <font>
      <sz val="10"/>
      <color rgb="FF00FF00"/>
      <name val="Arial"/>
      <scheme val="minor"/>
    </font>
    <font>
      <sz val="11"/>
      <color rgb="FFA64D79"/>
      <name val="Calibri"/>
    </font>
    <font>
      <sz val="11"/>
      <color rgb="FFCC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164" fontId="1" fillId="0" borderId="0" xfId="0" applyNumberFormat="1" applyFont="1" applyAlignment="1"/>
    <xf numFmtId="164" fontId="2" fillId="0" borderId="0" xfId="0" applyNumberFormat="1" applyFont="1" applyAlignment="1"/>
    <xf numFmtId="164" fontId="3" fillId="0" borderId="0" xfId="0" applyNumberFormat="1" applyFont="1" applyAlignment="1"/>
    <xf numFmtId="164" fontId="4" fillId="0" borderId="0" xfId="0" applyNumberFormat="1" applyFont="1" applyAlignment="1"/>
    <xf numFmtId="164" fontId="5" fillId="0" borderId="0" xfId="0" applyNumberFormat="1" applyFont="1" applyAlignment="1"/>
    <xf numFmtId="164" fontId="6" fillId="0" borderId="0" xfId="0" applyNumberFormat="1" applyFont="1"/>
    <xf numFmtId="164" fontId="7" fillId="0" borderId="0" xfId="0" applyNumberFormat="1" applyFont="1" applyAlignment="1"/>
    <xf numFmtId="164" fontId="8" fillId="0" borderId="0" xfId="0" applyNumberFormat="1" applyFont="1" applyAlignment="1"/>
    <xf numFmtId="164" fontId="9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164" fontId="10" fillId="0" borderId="0" xfId="0" applyNumberFormat="1" applyFont="1" applyAlignment="1"/>
    <xf numFmtId="164" fontId="7" fillId="0" borderId="0" xfId="0" applyNumberFormat="1" applyFont="1"/>
    <xf numFmtId="164" fontId="8" fillId="0" borderId="0" xfId="0" applyNumberFormat="1" applyFont="1"/>
    <xf numFmtId="164" fontId="6" fillId="0" borderId="0" xfId="0" applyNumberFormat="1" applyFont="1" applyAlignment="1"/>
    <xf numFmtId="164" fontId="11" fillId="0" borderId="0" xfId="0" applyNumberFormat="1" applyFont="1" applyAlignment="1"/>
  </cellXfs>
  <cellStyles count="1">
    <cellStyle name="Κανονικό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H1000"/>
  <sheetViews>
    <sheetView tabSelected="1" topLeftCell="HA1" workbookViewId="0">
      <selection activeCell="HH2" sqref="HH2"/>
    </sheetView>
  </sheetViews>
  <sheetFormatPr defaultColWidth="12.6640625" defaultRowHeight="15.75" customHeight="1"/>
  <cols>
    <col min="17" max="17" width="17" customWidth="1"/>
    <col min="21" max="21" width="14.33203125" customWidth="1"/>
    <col min="25" max="25" width="17" customWidth="1"/>
    <col min="29" max="29" width="15.88671875" customWidth="1"/>
    <col min="36" max="36" width="20.77734375" customWidth="1"/>
    <col min="40" max="41" width="18.6640625" customWidth="1"/>
    <col min="45" max="45" width="19.6640625" customWidth="1"/>
    <col min="46" max="46" width="23.33203125" customWidth="1"/>
    <col min="50" max="50" width="24" customWidth="1"/>
    <col min="51" max="51" width="29" customWidth="1"/>
    <col min="55" max="55" width="24.88671875" customWidth="1"/>
    <col min="56" max="56" width="24.33203125" customWidth="1"/>
    <col min="60" max="60" width="17.77734375" customWidth="1"/>
    <col min="61" max="61" width="25" customWidth="1"/>
    <col min="65" max="65" width="17.109375" customWidth="1"/>
    <col min="66" max="66" width="21.6640625" customWidth="1"/>
    <col min="70" max="70" width="23.88671875" customWidth="1"/>
    <col min="71" max="71" width="25.33203125" customWidth="1"/>
    <col min="75" max="75" width="21.77734375" customWidth="1"/>
    <col min="76" max="76" width="24.33203125" customWidth="1"/>
    <col min="80" max="80" width="20.109375" customWidth="1"/>
    <col min="81" max="81" width="23.21875" customWidth="1"/>
    <col min="85" max="85" width="19.109375" customWidth="1"/>
    <col min="86" max="86" width="22.6640625" customWidth="1"/>
    <col min="90" max="90" width="21.33203125" customWidth="1"/>
    <col min="91" max="91" width="23" customWidth="1"/>
    <col min="95" max="95" width="22.77734375" customWidth="1"/>
    <col min="96" max="96" width="21.6640625" customWidth="1"/>
    <col min="100" max="100" width="16" customWidth="1"/>
    <col min="101" max="101" width="24.33203125" customWidth="1"/>
    <col min="105" max="105" width="18.44140625" customWidth="1"/>
    <col min="106" max="106" width="25" customWidth="1"/>
    <col min="110" max="110" width="21.77734375" customWidth="1"/>
    <col min="111" max="111" width="21.109375" customWidth="1"/>
    <col min="115" max="115" width="22.77734375" customWidth="1"/>
    <col min="116" max="116" width="22.88671875" customWidth="1"/>
    <col min="120" max="120" width="18.77734375" customWidth="1"/>
    <col min="121" max="121" width="24.77734375" customWidth="1"/>
    <col min="125" max="125" width="20.109375" customWidth="1"/>
    <col min="126" max="126" width="21.77734375" customWidth="1"/>
    <col min="130" max="131" width="23" customWidth="1"/>
    <col min="135" max="136" width="24" customWidth="1"/>
    <col min="140" max="141" width="24.77734375" customWidth="1"/>
    <col min="145" max="146" width="23.6640625" customWidth="1"/>
    <col min="150" max="151" width="25.44140625" customWidth="1"/>
    <col min="155" max="156" width="25.21875" customWidth="1"/>
    <col min="160" max="161" width="19.88671875" customWidth="1"/>
    <col min="165" max="166" width="23.21875" customWidth="1"/>
    <col min="170" max="171" width="25.33203125" customWidth="1"/>
    <col min="175" max="176" width="25.21875" customWidth="1"/>
    <col min="180" max="181" width="22.6640625" customWidth="1"/>
    <col min="185" max="186" width="23.88671875" customWidth="1"/>
    <col min="190" max="191" width="22.88671875" customWidth="1"/>
    <col min="195" max="196" width="23.33203125" customWidth="1"/>
    <col min="198" max="198" width="14.77734375" customWidth="1"/>
    <col min="199" max="199" width="29.44140625" customWidth="1"/>
    <col min="200" max="200" width="20.6640625" customWidth="1"/>
    <col min="201" max="201" width="23" customWidth="1"/>
    <col min="202" max="202" width="23.44140625" customWidth="1"/>
    <col min="203" max="203" width="21.6640625" customWidth="1"/>
    <col min="204" max="204" width="22.6640625" customWidth="1"/>
    <col min="205" max="205" width="35.33203125" customWidth="1"/>
    <col min="206" max="206" width="40.77734375" customWidth="1"/>
    <col min="207" max="207" width="40.6640625" customWidth="1"/>
    <col min="208" max="208" width="20.21875" customWidth="1"/>
    <col min="209" max="209" width="21.6640625" customWidth="1"/>
    <col min="210" max="210" width="24.6640625" customWidth="1"/>
    <col min="211" max="211" width="25.44140625" customWidth="1"/>
    <col min="212" max="212" width="25.88671875" customWidth="1"/>
    <col min="213" max="213" width="28.6640625" customWidth="1"/>
    <col min="214" max="214" width="29.44140625" customWidth="1"/>
    <col min="215" max="215" width="28.21875" customWidth="1"/>
    <col min="216" max="216" width="15.88671875" customWidth="1"/>
  </cols>
  <sheetData>
    <row r="1" spans="1:2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3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2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2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2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2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2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2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4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4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4" t="s">
        <v>129</v>
      </c>
      <c r="EA1" s="4" t="s">
        <v>130</v>
      </c>
      <c r="EB1" s="1" t="s">
        <v>131</v>
      </c>
      <c r="EC1" s="1" t="s">
        <v>132</v>
      </c>
      <c r="ED1" s="1" t="s">
        <v>133</v>
      </c>
      <c r="EE1" s="4" t="s">
        <v>134</v>
      </c>
      <c r="EF1" s="4" t="s">
        <v>135</v>
      </c>
      <c r="EG1" s="1" t="s">
        <v>136</v>
      </c>
      <c r="EH1" s="1" t="s">
        <v>137</v>
      </c>
      <c r="EI1" s="1" t="s">
        <v>138</v>
      </c>
      <c r="EJ1" s="4" t="s">
        <v>139</v>
      </c>
      <c r="EK1" s="4" t="s">
        <v>140</v>
      </c>
      <c r="EL1" s="1" t="s">
        <v>141</v>
      </c>
      <c r="EM1" s="1" t="s">
        <v>142</v>
      </c>
      <c r="EN1" s="1" t="s">
        <v>143</v>
      </c>
      <c r="EO1" s="4" t="s">
        <v>144</v>
      </c>
      <c r="EP1" s="4" t="s">
        <v>145</v>
      </c>
      <c r="EQ1" s="1" t="s">
        <v>146</v>
      </c>
      <c r="ER1" s="1" t="s">
        <v>147</v>
      </c>
      <c r="ES1" s="1" t="s">
        <v>148</v>
      </c>
      <c r="ET1" s="4" t="s">
        <v>149</v>
      </c>
      <c r="EU1" s="4" t="s">
        <v>150</v>
      </c>
      <c r="EV1" s="1" t="s">
        <v>151</v>
      </c>
      <c r="EW1" s="1" t="s">
        <v>152</v>
      </c>
      <c r="EX1" s="1" t="s">
        <v>153</v>
      </c>
      <c r="EY1" s="4" t="s">
        <v>154</v>
      </c>
      <c r="EZ1" s="4" t="s">
        <v>155</v>
      </c>
      <c r="FA1" s="1" t="s">
        <v>156</v>
      </c>
      <c r="FB1" s="1" t="s">
        <v>157</v>
      </c>
      <c r="FC1" s="1" t="s">
        <v>158</v>
      </c>
      <c r="FD1" s="4" t="s">
        <v>159</v>
      </c>
      <c r="FE1" s="4" t="s">
        <v>160</v>
      </c>
      <c r="FF1" s="1" t="s">
        <v>161</v>
      </c>
      <c r="FG1" s="1" t="s">
        <v>162</v>
      </c>
      <c r="FH1" s="1" t="s">
        <v>163</v>
      </c>
      <c r="FI1" s="4" t="s">
        <v>164</v>
      </c>
      <c r="FJ1" s="4" t="s">
        <v>165</v>
      </c>
      <c r="FK1" s="1" t="s">
        <v>166</v>
      </c>
      <c r="FL1" s="1" t="s">
        <v>167</v>
      </c>
      <c r="FM1" s="1" t="s">
        <v>168</v>
      </c>
      <c r="FN1" s="4" t="s">
        <v>169</v>
      </c>
      <c r="FO1" s="4" t="s">
        <v>170</v>
      </c>
      <c r="FP1" s="1" t="s">
        <v>171</v>
      </c>
      <c r="FQ1" s="1" t="s">
        <v>172</v>
      </c>
      <c r="FR1" s="1" t="s">
        <v>173</v>
      </c>
      <c r="FS1" s="4" t="s">
        <v>174</v>
      </c>
      <c r="FT1" s="4" t="s">
        <v>175</v>
      </c>
      <c r="FU1" s="1" t="s">
        <v>176</v>
      </c>
      <c r="FV1" s="1" t="s">
        <v>177</v>
      </c>
      <c r="FW1" s="1" t="s">
        <v>178</v>
      </c>
      <c r="FX1" s="4" t="s">
        <v>179</v>
      </c>
      <c r="FY1" s="4" t="s">
        <v>180</v>
      </c>
      <c r="FZ1" s="1" t="s">
        <v>181</v>
      </c>
      <c r="GA1" s="1" t="s">
        <v>182</v>
      </c>
      <c r="GB1" s="1" t="s">
        <v>183</v>
      </c>
      <c r="GC1" s="4" t="s">
        <v>184</v>
      </c>
      <c r="GD1" s="4" t="s">
        <v>185</v>
      </c>
      <c r="GE1" s="1" t="s">
        <v>186</v>
      </c>
      <c r="GF1" s="1" t="s">
        <v>187</v>
      </c>
      <c r="GG1" s="1" t="s">
        <v>188</v>
      </c>
      <c r="GH1" s="4" t="s">
        <v>189</v>
      </c>
      <c r="GI1" s="4" t="s">
        <v>190</v>
      </c>
      <c r="GJ1" s="1" t="s">
        <v>191</v>
      </c>
      <c r="GK1" s="1" t="s">
        <v>192</v>
      </c>
      <c r="GL1" s="1" t="s">
        <v>193</v>
      </c>
      <c r="GM1" s="4" t="s">
        <v>194</v>
      </c>
      <c r="GN1" s="4" t="s">
        <v>195</v>
      </c>
      <c r="GO1" s="1" t="s">
        <v>196</v>
      </c>
      <c r="GP1" s="5" t="s">
        <v>197</v>
      </c>
      <c r="GQ1" s="6" t="s">
        <v>235</v>
      </c>
      <c r="GR1" s="7" t="s">
        <v>198</v>
      </c>
      <c r="GS1" s="7" t="s">
        <v>199</v>
      </c>
      <c r="GT1" s="7" t="s">
        <v>236</v>
      </c>
      <c r="GU1" s="7" t="s">
        <v>237</v>
      </c>
      <c r="GV1" s="7" t="s">
        <v>238</v>
      </c>
      <c r="GW1" s="7" t="s">
        <v>239</v>
      </c>
      <c r="GX1" s="7" t="s">
        <v>240</v>
      </c>
      <c r="GY1" s="7" t="s">
        <v>241</v>
      </c>
      <c r="GZ1" s="8" t="s">
        <v>200</v>
      </c>
      <c r="HA1" s="9" t="s">
        <v>201</v>
      </c>
      <c r="HB1" s="9" t="s">
        <v>246</v>
      </c>
      <c r="HC1" s="9"/>
      <c r="HD1" s="9" t="s">
        <v>242</v>
      </c>
      <c r="HE1" s="9" t="s">
        <v>243</v>
      </c>
      <c r="HF1" s="9" t="s">
        <v>244</v>
      </c>
      <c r="HG1" s="9" t="s">
        <v>245</v>
      </c>
      <c r="HH1" s="9" t="s">
        <v>247</v>
      </c>
    </row>
    <row r="2" spans="1:216" ht="15.75" customHeight="1">
      <c r="A2" s="1" t="s">
        <v>202</v>
      </c>
      <c r="B2" s="10">
        <v>22</v>
      </c>
      <c r="C2" s="1" t="s">
        <v>203</v>
      </c>
      <c r="D2" s="10">
        <v>72</v>
      </c>
      <c r="E2" s="10">
        <v>171</v>
      </c>
      <c r="F2" s="10">
        <v>96</v>
      </c>
      <c r="G2" s="1" t="s">
        <v>204</v>
      </c>
      <c r="H2" s="1" t="s">
        <v>205</v>
      </c>
      <c r="I2" s="1" t="s">
        <v>204</v>
      </c>
      <c r="J2" s="1" t="s">
        <v>204</v>
      </c>
      <c r="K2" s="10">
        <v>14</v>
      </c>
      <c r="L2" s="1" t="s">
        <v>206</v>
      </c>
      <c r="M2" s="1" t="s">
        <v>207</v>
      </c>
      <c r="N2" s="1">
        <v>76.8</v>
      </c>
      <c r="O2" s="1">
        <v>69.3</v>
      </c>
      <c r="P2" s="1">
        <v>75.900000000000006</v>
      </c>
      <c r="Q2" s="6">
        <f t="shared" ref="Q2:Q27" si="0">AVERAGE(N2:P2)</f>
        <v>74</v>
      </c>
      <c r="R2" s="1">
        <v>70.099999999999994</v>
      </c>
      <c r="S2" s="1">
        <v>78.099999999999994</v>
      </c>
      <c r="T2" s="1">
        <v>78.2</v>
      </c>
      <c r="U2" s="6">
        <f t="shared" ref="U2:U27" si="1">AVERAGE(R2:T2)</f>
        <v>75.466666666666654</v>
      </c>
      <c r="V2" s="1">
        <v>141.1</v>
      </c>
      <c r="W2" s="1">
        <v>143.1</v>
      </c>
      <c r="X2" s="1">
        <v>149.9</v>
      </c>
      <c r="Y2" s="6">
        <f t="shared" ref="Y2:Y27" si="2">AVERAGE(V2:X2)</f>
        <v>144.70000000000002</v>
      </c>
      <c r="Z2" s="1">
        <v>157.6</v>
      </c>
      <c r="AA2" s="1">
        <v>149.9</v>
      </c>
      <c r="AB2" s="10">
        <v>155</v>
      </c>
      <c r="AC2" s="6">
        <f t="shared" ref="AC2:AC27" si="3">AVERAGE(Z2:AB2)</f>
        <v>154.16666666666666</v>
      </c>
      <c r="AD2" s="10">
        <v>0</v>
      </c>
      <c r="AE2" s="10">
        <v>1</v>
      </c>
      <c r="AF2" s="10">
        <v>1</v>
      </c>
      <c r="AG2" s="10">
        <v>0</v>
      </c>
      <c r="AH2" s="10">
        <v>5</v>
      </c>
      <c r="AI2" s="10">
        <v>1</v>
      </c>
      <c r="AJ2" s="10">
        <f t="shared" ref="AJ2:AJ27" si="4">SUM(AD2:AI2)</f>
        <v>8</v>
      </c>
      <c r="AK2" s="10">
        <v>75</v>
      </c>
      <c r="AL2" s="10">
        <v>85</v>
      </c>
      <c r="AM2" s="10">
        <v>90</v>
      </c>
      <c r="AN2" s="10">
        <f t="shared" ref="AN2:AN27" si="5">AVERAGE(AK2:AM2)</f>
        <v>83.333333333333329</v>
      </c>
      <c r="AO2" s="10">
        <f t="shared" ref="AO2:AO27" si="6">(AN2 / F2) * 100</f>
        <v>86.805555555555543</v>
      </c>
      <c r="AP2" s="10">
        <v>95</v>
      </c>
      <c r="AQ2" s="10">
        <v>101</v>
      </c>
      <c r="AR2" s="10">
        <v>106</v>
      </c>
      <c r="AS2" s="6">
        <f t="shared" ref="AS2:AS27" si="7">AVERAGE(AP2:AR2)</f>
        <v>100.66666666666667</v>
      </c>
      <c r="AT2" s="6">
        <f t="shared" ref="AT2:AT27" si="8">(AS2 / $F2) * 100</f>
        <v>104.86111111111111</v>
      </c>
      <c r="AU2" s="10">
        <v>73</v>
      </c>
      <c r="AV2" s="10">
        <v>80</v>
      </c>
      <c r="AW2" s="1">
        <v>84.5</v>
      </c>
      <c r="AX2" s="6">
        <f t="shared" ref="AX2:AX27" si="9">AVERAGE(AU2:AW2)</f>
        <v>79.166666666666671</v>
      </c>
      <c r="AY2" s="6">
        <f t="shared" ref="AY2:AY27" si="10">(AX2 / $F2) * 100</f>
        <v>82.465277777777786</v>
      </c>
      <c r="AZ2" s="10">
        <v>72</v>
      </c>
      <c r="BA2" s="10">
        <v>80</v>
      </c>
      <c r="BB2" s="10">
        <v>80</v>
      </c>
      <c r="BC2" s="6">
        <f t="shared" ref="BC2:BC27" si="11">AVERAGE(AZ2:BB2)</f>
        <v>77.333333333333329</v>
      </c>
      <c r="BD2" s="10">
        <f t="shared" ref="BD2:BD27" si="12">(BC2 / $F2) * 100</f>
        <v>80.555555555555543</v>
      </c>
      <c r="BE2" s="1">
        <v>73.5</v>
      </c>
      <c r="BF2" s="1">
        <v>83.5</v>
      </c>
      <c r="BG2" s="10">
        <v>88</v>
      </c>
      <c r="BH2" s="10">
        <f t="shared" ref="BH2:BH27" si="13">AVERAGE(AZ2:BB2)</f>
        <v>77.333333333333329</v>
      </c>
      <c r="BI2" s="10">
        <f t="shared" ref="BI2:BI27" si="14">(BH2 / $F2) * 100</f>
        <v>80.555555555555543</v>
      </c>
      <c r="BJ2" s="10">
        <v>57</v>
      </c>
      <c r="BK2" s="1">
        <v>59.5</v>
      </c>
      <c r="BL2" s="1">
        <v>71.5</v>
      </c>
      <c r="BM2" s="10">
        <f t="shared" ref="BM2:BM27" si="15">AVERAGE(BJ2,BK2,BL2)</f>
        <v>62.666666666666664</v>
      </c>
      <c r="BN2" s="10">
        <f t="shared" ref="BN2:BN27" si="16">(BM2 / $F2) * 100</f>
        <v>65.277777777777786</v>
      </c>
      <c r="BO2" s="10">
        <v>75</v>
      </c>
      <c r="BP2" s="10">
        <v>87</v>
      </c>
      <c r="BQ2" s="10">
        <v>94</v>
      </c>
      <c r="BR2" s="1">
        <f t="shared" ref="BR2:BR27" si="17">AVERAGE(BO2,BP2,BQ2)</f>
        <v>85.333333333333329</v>
      </c>
      <c r="BS2" s="1">
        <f t="shared" ref="BS2:BS27" si="18">(BR2 / $F2) * 100</f>
        <v>88.888888888888886</v>
      </c>
      <c r="BT2" s="10">
        <v>78</v>
      </c>
      <c r="BU2" s="10">
        <v>85</v>
      </c>
      <c r="BV2" s="10">
        <v>89</v>
      </c>
      <c r="BW2" s="10">
        <f t="shared" ref="BW2:BW27" si="19">AVERAGE(BT2,BU2,BV2)</f>
        <v>84</v>
      </c>
      <c r="BX2" s="10">
        <f t="shared" ref="BX2:BX27" si="20">(BW2 / $F2) * 100</f>
        <v>87.5</v>
      </c>
      <c r="BY2" s="10">
        <v>70</v>
      </c>
      <c r="BZ2" s="10">
        <v>80</v>
      </c>
      <c r="CA2" s="1">
        <v>81.5</v>
      </c>
      <c r="CB2" s="10">
        <f t="shared" ref="CB2:CB27" si="21">AVERAGE(BY2,BZ2,CA2)</f>
        <v>77.166666666666671</v>
      </c>
      <c r="CC2" s="10">
        <f t="shared" ref="CC2:CC27" si="22">(CB2 / $F2) * 100</f>
        <v>80.381944444444457</v>
      </c>
      <c r="CD2" s="1">
        <v>77.5</v>
      </c>
      <c r="CE2" s="1">
        <v>86.5</v>
      </c>
      <c r="CF2" s="1">
        <v>86.5</v>
      </c>
      <c r="CG2" s="1">
        <f t="shared" ref="CG2:CG27" si="23">AVERAGE(CD2:CF2)</f>
        <v>83.5</v>
      </c>
      <c r="CH2" s="1">
        <f t="shared" ref="CH2:CH27" si="24">(CG2 / $F2) * 100</f>
        <v>86.979166666666657</v>
      </c>
      <c r="CI2" s="10">
        <v>68</v>
      </c>
      <c r="CJ2" s="1">
        <v>78.5</v>
      </c>
      <c r="CK2" s="10">
        <v>81</v>
      </c>
      <c r="CL2" s="10">
        <f t="shared" ref="CL2:CL27" si="25">AVERAGE(CI2:CK2)</f>
        <v>75.833333333333329</v>
      </c>
      <c r="CM2" s="10">
        <f t="shared" ref="CM2:CM27" si="26">(CL2 / $F2) * 100</f>
        <v>78.993055555555543</v>
      </c>
      <c r="CN2" s="1">
        <v>69.5</v>
      </c>
      <c r="CO2" s="10">
        <v>88</v>
      </c>
      <c r="CP2" s="1">
        <v>89.5</v>
      </c>
      <c r="CQ2" s="1">
        <f t="shared" ref="CQ2:CQ27" si="27">AVERAGE(CN2:CP2)</f>
        <v>82.333333333333329</v>
      </c>
      <c r="CR2" s="1">
        <f t="shared" ref="CR2:CR27" si="28">(CQ2 / $F2) * 100</f>
        <v>85.763888888888886</v>
      </c>
      <c r="CS2" s="10">
        <v>67</v>
      </c>
      <c r="CT2" s="10">
        <v>72</v>
      </c>
      <c r="CU2" s="10">
        <v>78</v>
      </c>
      <c r="CV2" s="10">
        <f t="shared" ref="CV2:CV27" si="29">AVERAGE(CS2:CU2)</f>
        <v>72.333333333333329</v>
      </c>
      <c r="CW2" s="10">
        <f t="shared" ref="CW2:CW27" si="30">(CV2 / $F2) * 100</f>
        <v>75.347222222222214</v>
      </c>
      <c r="CX2" s="10">
        <v>83</v>
      </c>
      <c r="CY2" s="10">
        <v>91</v>
      </c>
      <c r="CZ2" s="10">
        <v>92</v>
      </c>
      <c r="DA2" s="10">
        <f t="shared" ref="DA2:DA27" si="31">AVERAGE(CX2:CZ2)</f>
        <v>88.666666666666671</v>
      </c>
      <c r="DB2" s="10">
        <f t="shared" ref="DB2:DB27" si="32">(DA2 / $F2) * 100</f>
        <v>92.361111111111114</v>
      </c>
      <c r="DC2" s="10">
        <v>74</v>
      </c>
      <c r="DD2" s="10">
        <v>79</v>
      </c>
      <c r="DE2" s="10">
        <v>84</v>
      </c>
      <c r="DF2" s="1">
        <f t="shared" ref="DF2:DF27" si="33">AVERAGE(DC2:DE2)</f>
        <v>79</v>
      </c>
      <c r="DG2" s="1">
        <f t="shared" ref="DG2:DG27" si="34">(DF2 / $F2) * 100</f>
        <v>82.291666666666657</v>
      </c>
      <c r="DH2" s="1">
        <v>80.5</v>
      </c>
      <c r="DI2" s="10">
        <v>84</v>
      </c>
      <c r="DJ2" s="10">
        <v>85</v>
      </c>
      <c r="DK2" s="10">
        <f t="shared" ref="DK2:DK27" si="35">AVERAGE(DH2:DJ2)</f>
        <v>83.166666666666671</v>
      </c>
      <c r="DL2" s="10">
        <f t="shared" ref="DL2:DL27" si="36">(DK2 / $F2) * 100</f>
        <v>86.631944444444457</v>
      </c>
      <c r="DM2" s="10">
        <v>86</v>
      </c>
      <c r="DN2" s="10">
        <v>95</v>
      </c>
      <c r="DO2" s="1">
        <v>99.5</v>
      </c>
      <c r="DP2" s="6">
        <f t="shared" ref="DP2:DP27" si="37">AVERAGE(DM2:DO2)</f>
        <v>93.5</v>
      </c>
      <c r="DQ2" s="10">
        <f t="shared" ref="DQ2:DQ27" si="38">(DP2 / $F2) * 100</f>
        <v>97.395833333333343</v>
      </c>
      <c r="DR2" s="10">
        <v>89</v>
      </c>
      <c r="DS2" s="10">
        <v>92</v>
      </c>
      <c r="DT2" s="1">
        <v>99.5</v>
      </c>
      <c r="DU2" s="6">
        <f t="shared" ref="DU2:DU27" si="39">AVERAGE(DR2:DT2)</f>
        <v>93.5</v>
      </c>
      <c r="DV2" s="1">
        <f t="shared" ref="DV2:DV27" si="40">(DU2 / $F2) * 100</f>
        <v>97.395833333333343</v>
      </c>
      <c r="DW2" s="1">
        <v>76.5</v>
      </c>
      <c r="DX2" s="1">
        <v>79.5</v>
      </c>
      <c r="DY2" s="10">
        <v>82</v>
      </c>
      <c r="DZ2" s="6">
        <f t="shared" ref="DZ2:DZ27" si="41">AVERAGE(DW2:DY2)</f>
        <v>79.333333333333329</v>
      </c>
      <c r="EA2" s="6">
        <f t="shared" ref="EA2:EA27" si="42">(DZ2 / $F2) * 100</f>
        <v>82.638888888888886</v>
      </c>
      <c r="EB2" s="10">
        <v>63</v>
      </c>
      <c r="EC2" s="10">
        <v>62</v>
      </c>
      <c r="ED2" s="10">
        <v>72</v>
      </c>
      <c r="EE2" s="6">
        <f t="shared" ref="EE2:EE27" si="43">AVERAGE(EB2:ED2)</f>
        <v>65.666666666666671</v>
      </c>
      <c r="EF2" s="6">
        <f t="shared" ref="EF2:EF27" si="44">(EE2 / $F2) * 100</f>
        <v>68.402777777777786</v>
      </c>
      <c r="EG2" s="10">
        <v>80</v>
      </c>
      <c r="EH2" s="10">
        <v>85</v>
      </c>
      <c r="EI2" s="10">
        <v>86</v>
      </c>
      <c r="EJ2" s="6">
        <f t="shared" ref="EJ2:EJ27" si="45">AVERAGE(EG2:EI2)</f>
        <v>83.666666666666671</v>
      </c>
      <c r="EK2" s="6">
        <f t="shared" ref="EK2:EK27" si="46">(EJ2 / $F2) * 100</f>
        <v>87.152777777777786</v>
      </c>
      <c r="EL2" s="10">
        <v>59</v>
      </c>
      <c r="EM2" s="10">
        <v>67</v>
      </c>
      <c r="EN2" s="10">
        <v>72</v>
      </c>
      <c r="EO2" s="6">
        <f t="shared" ref="EO2:EO27" si="47">AVERAGE(EL2:EN2)</f>
        <v>66</v>
      </c>
      <c r="EP2" s="6">
        <f t="shared" ref="EP2:EP27" si="48">(EO2 / $F2) * 100</f>
        <v>68.75</v>
      </c>
      <c r="EQ2" s="1">
        <v>67.5</v>
      </c>
      <c r="ER2" s="10">
        <v>80</v>
      </c>
      <c r="ES2" s="10">
        <v>89</v>
      </c>
      <c r="ET2" s="6">
        <f t="shared" ref="ET2:ET27" si="49">AVERAGE(EQ2:ES2)</f>
        <v>78.833333333333329</v>
      </c>
      <c r="EU2" s="6">
        <f t="shared" ref="EU2:EU27" si="50">(ET2 / $F2) * 100</f>
        <v>82.118055555555543</v>
      </c>
      <c r="EV2" s="10">
        <v>71</v>
      </c>
      <c r="EW2" s="10">
        <v>82</v>
      </c>
      <c r="EX2" s="1">
        <v>87.5</v>
      </c>
      <c r="EY2" s="6">
        <f t="shared" ref="EY2:EY27" si="51">AVERAGE(EV2:EX2)</f>
        <v>80.166666666666671</v>
      </c>
      <c r="EZ2" s="6">
        <f t="shared" ref="EZ2:EZ27" si="52">(EY2 / $F2) * 100</f>
        <v>83.506944444444457</v>
      </c>
      <c r="FA2" s="10">
        <v>71</v>
      </c>
      <c r="FB2" s="1">
        <v>71.5</v>
      </c>
      <c r="FC2" s="10">
        <v>76</v>
      </c>
      <c r="FD2" s="6">
        <f t="shared" ref="FD2:FD27" si="53">AVERAGE(FA2:FC2)</f>
        <v>72.833333333333329</v>
      </c>
      <c r="FE2" s="6">
        <f t="shared" ref="FE2:FE27" si="54">(FD2 / $F2) * 100</f>
        <v>75.868055555555543</v>
      </c>
      <c r="FF2" s="10">
        <v>76</v>
      </c>
      <c r="FG2" s="1">
        <v>80.5</v>
      </c>
      <c r="FH2" s="1">
        <v>84.5</v>
      </c>
      <c r="FI2" s="6">
        <f t="shared" ref="FI2:FI27" si="55">AVERAGE(FF2:FH2)</f>
        <v>80.333333333333329</v>
      </c>
      <c r="FJ2" s="6">
        <f t="shared" ref="FJ2:FJ27" si="56">(FI2 / $F2) * 100</f>
        <v>83.680555555555543</v>
      </c>
      <c r="FK2" s="1">
        <v>71.5</v>
      </c>
      <c r="FL2" s="1">
        <v>75.5</v>
      </c>
      <c r="FM2" s="1">
        <v>79.5</v>
      </c>
      <c r="FN2" s="6">
        <f t="shared" ref="FN2:FN27" si="57">AVERAGE(FK2:FM2)</f>
        <v>75.5</v>
      </c>
      <c r="FO2" s="6">
        <f t="shared" ref="FO2:FO27" si="58">(FN2 / $F2) * 100</f>
        <v>78.645833333333343</v>
      </c>
      <c r="FP2" s="1">
        <v>78.5</v>
      </c>
      <c r="FQ2" s="1">
        <v>94.5</v>
      </c>
      <c r="FR2" s="1">
        <v>94.5</v>
      </c>
      <c r="FS2" s="6">
        <f t="shared" ref="FS2:FS27" si="59">AVERAGE(FP2:FR2)</f>
        <v>89.166666666666671</v>
      </c>
      <c r="FT2" s="6">
        <f t="shared" ref="FT2:FT27" si="60">(FS2 / $F2) * 100</f>
        <v>92.881944444444457</v>
      </c>
      <c r="FU2" s="10">
        <v>65</v>
      </c>
      <c r="FV2" s="1">
        <v>68.5</v>
      </c>
      <c r="FW2" s="1">
        <v>78.5</v>
      </c>
      <c r="FX2" s="6">
        <f t="shared" ref="FX2:FX27" si="61">AVERAGE(FU2:FW2)</f>
        <v>70.666666666666671</v>
      </c>
      <c r="FY2" s="6">
        <f t="shared" ref="FY2:FY27" si="62">(FX2 / $F2) * 100</f>
        <v>73.611111111111114</v>
      </c>
      <c r="FZ2" s="10">
        <v>81</v>
      </c>
      <c r="GA2" s="10">
        <v>88</v>
      </c>
      <c r="GB2" s="10">
        <v>96</v>
      </c>
      <c r="GC2" s="6">
        <f t="shared" ref="GC2:GC27" si="63">AVERAGE(FZ2:GB2)</f>
        <v>88.333333333333329</v>
      </c>
      <c r="GD2" s="6">
        <f t="shared" ref="GD2:GD27" si="64">(GC2 / $F2) * 100</f>
        <v>92.013888888888886</v>
      </c>
      <c r="GE2" s="10">
        <v>71</v>
      </c>
      <c r="GF2" s="10">
        <v>80</v>
      </c>
      <c r="GG2" s="10">
        <v>85</v>
      </c>
      <c r="GH2" s="6">
        <f t="shared" ref="GH2:GH27" si="65">AVERAGE(GE2:GG2)</f>
        <v>78.666666666666671</v>
      </c>
      <c r="GI2" s="6">
        <f t="shared" ref="GI2:GI27" si="66">(GH2 / $F2) * 100</f>
        <v>81.944444444444457</v>
      </c>
      <c r="GJ2" s="10">
        <v>79</v>
      </c>
      <c r="GK2" s="10">
        <v>87</v>
      </c>
      <c r="GL2" s="10">
        <v>91</v>
      </c>
      <c r="GM2" s="6">
        <f t="shared" ref="GM2:GM27" si="67">AVERAGE(GJ2:GL2)</f>
        <v>85.666666666666671</v>
      </c>
      <c r="GN2" s="6">
        <f t="shared" ref="GN2:GN27" si="68">(GM2 / $F2) * 100</f>
        <v>89.236111111111114</v>
      </c>
      <c r="GO2" s="10">
        <v>66</v>
      </c>
      <c r="GP2" s="11" t="s">
        <v>208</v>
      </c>
      <c r="GQ2" s="6">
        <f>AVERAGE(GO2:GO14)</f>
        <v>75.165384615384625</v>
      </c>
      <c r="GR2" s="12">
        <f>ABS( (GX2) - (GY2) )</f>
        <v>0.17030333518947627</v>
      </c>
      <c r="GS2" s="12">
        <f>AVERAGE(GU2:GV14)</f>
        <v>81.416092738881019</v>
      </c>
      <c r="GT2" s="12">
        <f>AVERAGE(GO15:GO27)</f>
        <v>84.842307692307699</v>
      </c>
      <c r="GU2" s="12">
        <f>( (AO2+AY2+BI2+BS2+CC2+CM2+CW2+DG2) / 8 )</f>
        <v>81.966145833333314</v>
      </c>
      <c r="GV2" s="12">
        <f t="shared" ref="GV2:GV27" si="69">( (AT2+BD2+BN2+BX2+CH2+CR2+DB2+DL2) / 8 )</f>
        <v>86.241319444444443</v>
      </c>
      <c r="GW2" s="12">
        <f>ABS( GU2 - GV2 )</f>
        <v>4.2751736111111285</v>
      </c>
      <c r="GX2" s="12">
        <f>AVERAGE(GW2:GW14)</f>
        <v>2.7285507825802262</v>
      </c>
      <c r="GY2" s="12">
        <f>AVERAGE(GW15:GW27)</f>
        <v>2.5582474473907499</v>
      </c>
      <c r="GZ2" s="13">
        <f>(GS2 - HV2)</f>
        <v>81.416092738881019</v>
      </c>
      <c r="HA2" s="6">
        <f>ABS( (HF2) - (HG2) )</f>
        <v>0.46319761290384598</v>
      </c>
      <c r="HB2" s="10">
        <f t="shared" ref="HB2:HB27" si="70">ABS(HD2-HE2)</f>
        <v>2.0616319444444429</v>
      </c>
      <c r="HD2" s="10">
        <f>( (DQ2+EA2+EK2+EU2+FE2+FO2+FY2+GI2) / 8 )</f>
        <v>82.421875</v>
      </c>
      <c r="HE2" s="10">
        <f t="shared" ref="HE2:HE27" si="71">( (DV2+EF2+EP2+EZ2+FJ2+FT2+GD2+GN2) / 8 )</f>
        <v>84.483506944444443</v>
      </c>
      <c r="HF2" s="6">
        <f>AVERAGE(HB2:HB14)</f>
        <v>1.8349926630696678</v>
      </c>
      <c r="HG2" s="14">
        <f>AVERAGE(HB15:HB27)</f>
        <v>1.3717950501658218</v>
      </c>
      <c r="HH2" s="10">
        <f>AVERAGE(HB2:HB14)</f>
        <v>1.8349926630696678</v>
      </c>
    </row>
    <row r="3" spans="1:216" ht="15.75" customHeight="1">
      <c r="A3" s="1" t="s">
        <v>209</v>
      </c>
      <c r="B3" s="10">
        <v>18</v>
      </c>
      <c r="C3" s="1" t="s">
        <v>203</v>
      </c>
      <c r="D3" s="10">
        <v>71</v>
      </c>
      <c r="E3" s="10">
        <v>170</v>
      </c>
      <c r="F3" s="10">
        <v>91</v>
      </c>
      <c r="G3" s="1" t="s">
        <v>204</v>
      </c>
      <c r="H3" s="1" t="s">
        <v>205</v>
      </c>
      <c r="I3" s="1" t="s">
        <v>204</v>
      </c>
      <c r="J3" s="1" t="s">
        <v>204</v>
      </c>
      <c r="K3" s="10">
        <v>11</v>
      </c>
      <c r="L3" s="1" t="s">
        <v>206</v>
      </c>
      <c r="M3" s="1" t="s">
        <v>207</v>
      </c>
      <c r="N3" s="1">
        <v>86.1</v>
      </c>
      <c r="O3" s="1">
        <v>90.1</v>
      </c>
      <c r="P3" s="1">
        <v>87.9</v>
      </c>
      <c r="Q3" s="6">
        <f t="shared" si="0"/>
        <v>88.033333333333346</v>
      </c>
      <c r="R3" s="10">
        <v>90</v>
      </c>
      <c r="S3" s="1">
        <v>83.5</v>
      </c>
      <c r="T3" s="1">
        <v>86.1</v>
      </c>
      <c r="U3" s="6">
        <f t="shared" si="1"/>
        <v>86.533333333333346</v>
      </c>
      <c r="V3" s="1">
        <v>139.1</v>
      </c>
      <c r="W3" s="1">
        <v>155.1</v>
      </c>
      <c r="X3" s="1">
        <v>154.9</v>
      </c>
      <c r="Y3" s="6">
        <f t="shared" si="2"/>
        <v>149.70000000000002</v>
      </c>
      <c r="Z3" s="1">
        <v>155.5</v>
      </c>
      <c r="AA3" s="1">
        <v>156.80000000000001</v>
      </c>
      <c r="AB3" s="1">
        <v>145.69999999999999</v>
      </c>
      <c r="AC3" s="6">
        <f t="shared" si="3"/>
        <v>152.66666666666666</v>
      </c>
      <c r="AD3" s="10">
        <v>0</v>
      </c>
      <c r="AE3" s="10">
        <v>3</v>
      </c>
      <c r="AF3" s="10">
        <v>0</v>
      </c>
      <c r="AG3" s="10">
        <v>0</v>
      </c>
      <c r="AH3" s="10">
        <v>3</v>
      </c>
      <c r="AI3" s="10">
        <v>1</v>
      </c>
      <c r="AJ3" s="10">
        <f t="shared" si="4"/>
        <v>7</v>
      </c>
      <c r="AK3" s="10">
        <v>79</v>
      </c>
      <c r="AL3" s="1">
        <v>80.5</v>
      </c>
      <c r="AM3" s="1">
        <v>81.5</v>
      </c>
      <c r="AN3" s="10">
        <f t="shared" si="5"/>
        <v>80.333333333333329</v>
      </c>
      <c r="AO3" s="10">
        <f t="shared" si="6"/>
        <v>88.278388278388277</v>
      </c>
      <c r="AP3" s="10">
        <v>82</v>
      </c>
      <c r="AQ3" s="10">
        <v>86</v>
      </c>
      <c r="AR3" s="10">
        <v>87</v>
      </c>
      <c r="AS3" s="6">
        <f t="shared" si="7"/>
        <v>85</v>
      </c>
      <c r="AT3" s="6">
        <f t="shared" si="8"/>
        <v>93.406593406593402</v>
      </c>
      <c r="AU3" s="10">
        <v>71</v>
      </c>
      <c r="AV3" s="10">
        <v>75</v>
      </c>
      <c r="AW3" s="10">
        <v>77</v>
      </c>
      <c r="AX3" s="6">
        <f t="shared" si="9"/>
        <v>74.333333333333329</v>
      </c>
      <c r="AY3" s="6">
        <f t="shared" si="10"/>
        <v>81.684981684981679</v>
      </c>
      <c r="AZ3" s="10">
        <v>59</v>
      </c>
      <c r="BA3" s="1">
        <v>60.5</v>
      </c>
      <c r="BB3" s="10">
        <v>64</v>
      </c>
      <c r="BC3" s="6">
        <f t="shared" si="11"/>
        <v>61.166666666666664</v>
      </c>
      <c r="BD3" s="10">
        <f t="shared" si="12"/>
        <v>67.216117216117212</v>
      </c>
      <c r="BE3" s="10">
        <v>62</v>
      </c>
      <c r="BF3" s="1">
        <v>68.5</v>
      </c>
      <c r="BG3" s="10">
        <v>76</v>
      </c>
      <c r="BH3" s="10">
        <f t="shared" si="13"/>
        <v>61.166666666666664</v>
      </c>
      <c r="BI3" s="10">
        <f t="shared" si="14"/>
        <v>67.216117216117212</v>
      </c>
      <c r="BJ3" s="10">
        <v>62</v>
      </c>
      <c r="BK3" s="1">
        <v>63.5</v>
      </c>
      <c r="BL3" s="1">
        <v>51.5</v>
      </c>
      <c r="BM3" s="10">
        <f t="shared" si="15"/>
        <v>59</v>
      </c>
      <c r="BN3" s="10">
        <f t="shared" si="16"/>
        <v>64.835164835164832</v>
      </c>
      <c r="BO3" s="10">
        <v>83</v>
      </c>
      <c r="BP3" s="1">
        <v>84.5</v>
      </c>
      <c r="BQ3" s="10">
        <v>78</v>
      </c>
      <c r="BR3" s="1">
        <f t="shared" si="17"/>
        <v>81.833333333333329</v>
      </c>
      <c r="BS3" s="1">
        <f t="shared" si="18"/>
        <v>89.926739926739913</v>
      </c>
      <c r="BT3" s="1">
        <v>68.5</v>
      </c>
      <c r="BU3" s="10">
        <v>76</v>
      </c>
      <c r="BV3" s="1">
        <v>80.5</v>
      </c>
      <c r="BW3" s="10">
        <f t="shared" si="19"/>
        <v>75</v>
      </c>
      <c r="BX3" s="10">
        <f t="shared" si="20"/>
        <v>82.417582417582409</v>
      </c>
      <c r="BY3" s="10">
        <v>77</v>
      </c>
      <c r="BZ3" s="10">
        <v>78</v>
      </c>
      <c r="CA3" s="10">
        <v>78</v>
      </c>
      <c r="CB3" s="10">
        <f t="shared" si="21"/>
        <v>77.666666666666671</v>
      </c>
      <c r="CC3" s="10">
        <f t="shared" si="22"/>
        <v>85.347985347985357</v>
      </c>
      <c r="CD3" s="10">
        <v>80</v>
      </c>
      <c r="CE3" s="10">
        <v>81</v>
      </c>
      <c r="CF3" s="10">
        <v>81</v>
      </c>
      <c r="CG3" s="1">
        <f t="shared" si="23"/>
        <v>80.666666666666671</v>
      </c>
      <c r="CH3" s="1">
        <f t="shared" si="24"/>
        <v>88.644688644688657</v>
      </c>
      <c r="CI3" s="1">
        <v>74.5</v>
      </c>
      <c r="CJ3" s="10">
        <v>76</v>
      </c>
      <c r="CK3" s="10">
        <v>76</v>
      </c>
      <c r="CL3" s="10">
        <f t="shared" si="25"/>
        <v>75.5</v>
      </c>
      <c r="CM3" s="10">
        <f t="shared" si="26"/>
        <v>82.967032967032978</v>
      </c>
      <c r="CN3" s="10">
        <v>89</v>
      </c>
      <c r="CO3" s="10">
        <v>89</v>
      </c>
      <c r="CP3" s="10">
        <v>90</v>
      </c>
      <c r="CQ3" s="1">
        <f t="shared" si="27"/>
        <v>89.333333333333329</v>
      </c>
      <c r="CR3" s="1">
        <f t="shared" si="28"/>
        <v>98.168498168498161</v>
      </c>
      <c r="CS3" s="1">
        <v>65.5</v>
      </c>
      <c r="CT3" s="10">
        <v>71</v>
      </c>
      <c r="CU3" s="10">
        <v>74</v>
      </c>
      <c r="CV3" s="10">
        <f t="shared" si="29"/>
        <v>70.166666666666671</v>
      </c>
      <c r="CW3" s="10">
        <f t="shared" si="30"/>
        <v>77.106227106227109</v>
      </c>
      <c r="CX3" s="10">
        <v>77</v>
      </c>
      <c r="CY3" s="10">
        <v>82</v>
      </c>
      <c r="CZ3" s="10">
        <v>87</v>
      </c>
      <c r="DA3" s="10">
        <f t="shared" si="31"/>
        <v>82</v>
      </c>
      <c r="DB3" s="10">
        <f t="shared" si="32"/>
        <v>90.109890109890117</v>
      </c>
      <c r="DC3" s="10">
        <v>66</v>
      </c>
      <c r="DD3" s="10">
        <v>73</v>
      </c>
      <c r="DE3" s="1">
        <v>77.5</v>
      </c>
      <c r="DF3" s="1">
        <f t="shared" si="33"/>
        <v>72.166666666666671</v>
      </c>
      <c r="DG3" s="1">
        <f t="shared" si="34"/>
        <v>79.304029304029314</v>
      </c>
      <c r="DH3" s="1">
        <v>74.5</v>
      </c>
      <c r="DI3" s="10">
        <v>78</v>
      </c>
      <c r="DJ3" s="10">
        <v>79</v>
      </c>
      <c r="DK3" s="10">
        <f t="shared" si="35"/>
        <v>77.166666666666671</v>
      </c>
      <c r="DL3" s="10">
        <f t="shared" si="36"/>
        <v>84.798534798534803</v>
      </c>
      <c r="DM3" s="10">
        <v>81</v>
      </c>
      <c r="DN3" s="10">
        <v>85</v>
      </c>
      <c r="DO3" s="10">
        <v>86</v>
      </c>
      <c r="DP3" s="6">
        <f t="shared" si="37"/>
        <v>84</v>
      </c>
      <c r="DQ3" s="10">
        <f t="shared" si="38"/>
        <v>92.307692307692307</v>
      </c>
      <c r="DR3" s="10">
        <v>80</v>
      </c>
      <c r="DS3" s="10">
        <v>84</v>
      </c>
      <c r="DT3" s="10">
        <v>86</v>
      </c>
      <c r="DU3" s="6">
        <f t="shared" si="39"/>
        <v>83.333333333333329</v>
      </c>
      <c r="DV3" s="1">
        <f t="shared" si="40"/>
        <v>91.575091575091577</v>
      </c>
      <c r="DW3" s="1">
        <v>74.5</v>
      </c>
      <c r="DX3" s="1">
        <v>74.5</v>
      </c>
      <c r="DY3" s="1">
        <v>75.5</v>
      </c>
      <c r="DZ3" s="6">
        <f t="shared" si="41"/>
        <v>74.833333333333329</v>
      </c>
      <c r="EA3" s="6">
        <f t="shared" si="42"/>
        <v>82.234432234432234</v>
      </c>
      <c r="EB3" s="1">
        <v>62.5</v>
      </c>
      <c r="EC3" s="1">
        <v>63.5</v>
      </c>
      <c r="ED3" s="10">
        <v>65</v>
      </c>
      <c r="EE3" s="6">
        <f t="shared" si="43"/>
        <v>63.666666666666664</v>
      </c>
      <c r="EF3" s="6">
        <f t="shared" si="44"/>
        <v>69.963369963369956</v>
      </c>
      <c r="EG3" s="1">
        <v>80.5</v>
      </c>
      <c r="EH3" s="1">
        <v>80.5</v>
      </c>
      <c r="EI3" s="1">
        <v>82.5</v>
      </c>
      <c r="EJ3" s="6">
        <f t="shared" si="45"/>
        <v>81.166666666666671</v>
      </c>
      <c r="EK3" s="6">
        <f t="shared" si="46"/>
        <v>89.194139194139197</v>
      </c>
      <c r="EL3" s="1">
        <v>70.5</v>
      </c>
      <c r="EM3" s="10">
        <v>73</v>
      </c>
      <c r="EN3" s="10">
        <v>73</v>
      </c>
      <c r="EO3" s="6">
        <f t="shared" si="47"/>
        <v>72.166666666666671</v>
      </c>
      <c r="EP3" s="6">
        <f t="shared" si="48"/>
        <v>79.304029304029314</v>
      </c>
      <c r="EQ3" s="1">
        <v>83.5</v>
      </c>
      <c r="ER3" s="10">
        <v>86</v>
      </c>
      <c r="ES3" s="1">
        <v>73.5</v>
      </c>
      <c r="ET3" s="6">
        <f t="shared" si="49"/>
        <v>81</v>
      </c>
      <c r="EU3" s="6">
        <f t="shared" si="50"/>
        <v>89.010989010989007</v>
      </c>
      <c r="EV3" s="10">
        <v>76</v>
      </c>
      <c r="EW3" s="10">
        <v>83</v>
      </c>
      <c r="EX3" s="10">
        <v>85</v>
      </c>
      <c r="EY3" s="6">
        <f t="shared" si="51"/>
        <v>81.333333333333329</v>
      </c>
      <c r="EZ3" s="6">
        <f t="shared" si="52"/>
        <v>89.377289377289372</v>
      </c>
      <c r="FA3" s="10">
        <v>65</v>
      </c>
      <c r="FB3" s="10">
        <v>68</v>
      </c>
      <c r="FC3" s="10">
        <v>69</v>
      </c>
      <c r="FD3" s="6">
        <f t="shared" si="53"/>
        <v>67.333333333333329</v>
      </c>
      <c r="FE3" s="6">
        <f t="shared" si="54"/>
        <v>73.992673992673986</v>
      </c>
      <c r="FF3" s="10">
        <v>75</v>
      </c>
      <c r="FG3" s="10">
        <v>75</v>
      </c>
      <c r="FH3" s="10">
        <v>80</v>
      </c>
      <c r="FI3" s="6">
        <f t="shared" si="55"/>
        <v>76.666666666666671</v>
      </c>
      <c r="FJ3" s="6">
        <f t="shared" si="56"/>
        <v>84.249084249084248</v>
      </c>
      <c r="FK3" s="10">
        <v>74</v>
      </c>
      <c r="FL3" s="10">
        <v>86</v>
      </c>
      <c r="FM3" s="10">
        <v>87</v>
      </c>
      <c r="FN3" s="6">
        <f t="shared" si="57"/>
        <v>82.333333333333329</v>
      </c>
      <c r="FO3" s="6">
        <f t="shared" si="58"/>
        <v>90.476190476190467</v>
      </c>
      <c r="FP3" s="10">
        <v>86</v>
      </c>
      <c r="FQ3" s="10">
        <v>91</v>
      </c>
      <c r="FR3" s="10">
        <v>91</v>
      </c>
      <c r="FS3" s="6">
        <f t="shared" si="59"/>
        <v>89.333333333333329</v>
      </c>
      <c r="FT3" s="6">
        <f t="shared" si="60"/>
        <v>98.168498168498161</v>
      </c>
      <c r="FU3" s="1">
        <v>64.5</v>
      </c>
      <c r="FV3" s="1">
        <v>71.5</v>
      </c>
      <c r="FW3" s="1">
        <v>72.5</v>
      </c>
      <c r="FX3" s="6">
        <f t="shared" si="61"/>
        <v>69.5</v>
      </c>
      <c r="FY3" s="6">
        <f t="shared" si="62"/>
        <v>76.373626373626365</v>
      </c>
      <c r="FZ3" s="10">
        <v>80</v>
      </c>
      <c r="GA3" s="10">
        <v>81</v>
      </c>
      <c r="GB3" s="1">
        <v>83.5</v>
      </c>
      <c r="GC3" s="6">
        <f t="shared" si="63"/>
        <v>81.5</v>
      </c>
      <c r="GD3" s="6">
        <f t="shared" si="64"/>
        <v>89.560439560439562</v>
      </c>
      <c r="GE3" s="10">
        <v>64</v>
      </c>
      <c r="GF3" s="1">
        <v>68.5</v>
      </c>
      <c r="GG3" s="1">
        <v>69.5</v>
      </c>
      <c r="GH3" s="6">
        <f t="shared" si="65"/>
        <v>67.333333333333329</v>
      </c>
      <c r="GI3" s="6">
        <f t="shared" si="66"/>
        <v>73.992673992673986</v>
      </c>
      <c r="GJ3" s="1">
        <v>71.5</v>
      </c>
      <c r="GK3" s="1">
        <v>75.5</v>
      </c>
      <c r="GL3" s="10">
        <v>78</v>
      </c>
      <c r="GM3" s="6">
        <f t="shared" si="67"/>
        <v>75</v>
      </c>
      <c r="GN3" s="6">
        <f t="shared" si="68"/>
        <v>82.417582417582409</v>
      </c>
      <c r="GO3" s="10">
        <v>70.2</v>
      </c>
      <c r="GP3" s="11" t="s">
        <v>208</v>
      </c>
      <c r="GQ3" s="6"/>
      <c r="GR3" s="12"/>
      <c r="GS3" s="12">
        <f t="shared" ref="GS3:GS27" si="72">AVERAGE(GU3:GV15)</f>
        <v>80.964584611591661</v>
      </c>
      <c r="GT3" s="12"/>
      <c r="GU3" s="12">
        <f t="shared" ref="GU3:GU27" si="73">( (AO3+AY3+BI3+BS3+CC3+CM3+CW3+DG3) / 8 )</f>
        <v>81.478937728937737</v>
      </c>
      <c r="GV3" s="12">
        <f t="shared" si="69"/>
        <v>83.699633699633694</v>
      </c>
      <c r="GW3" s="12">
        <f t="shared" ref="GW3:GW27" si="74">ABS( GU3 - GV3 )</f>
        <v>2.2206959706959566</v>
      </c>
      <c r="GX3" s="12"/>
      <c r="GY3" s="12"/>
      <c r="GZ3" s="13">
        <f t="shared" ref="GZ3:GZ27" si="75">(GS3 - HV3)</f>
        <v>80.964584611591661</v>
      </c>
      <c r="HA3" s="6"/>
      <c r="HB3" s="10">
        <f t="shared" si="70"/>
        <v>2.129120879120876</v>
      </c>
      <c r="HD3" s="10">
        <f t="shared" ref="HD3:HD27" si="76">( (DQ3+EA3+EK3+EU3+FE3+FO3+FY3+GI3) / 8 )</f>
        <v>83.447802197802204</v>
      </c>
      <c r="HE3" s="10">
        <f t="shared" si="71"/>
        <v>85.57692307692308</v>
      </c>
      <c r="HG3" s="10"/>
      <c r="HH3" s="10"/>
    </row>
    <row r="4" spans="1:216" ht="15.75" customHeight="1">
      <c r="A4" s="1" t="s">
        <v>210</v>
      </c>
      <c r="B4" s="10">
        <v>19</v>
      </c>
      <c r="C4" s="1" t="s">
        <v>203</v>
      </c>
      <c r="D4" s="10">
        <v>100</v>
      </c>
      <c r="E4" s="10">
        <v>188</v>
      </c>
      <c r="F4" s="10">
        <v>105</v>
      </c>
      <c r="G4" s="1" t="s">
        <v>204</v>
      </c>
      <c r="H4" s="1" t="s">
        <v>205</v>
      </c>
      <c r="I4" s="1" t="s">
        <v>204</v>
      </c>
      <c r="J4" s="1" t="s">
        <v>204</v>
      </c>
      <c r="K4" s="10">
        <v>11</v>
      </c>
      <c r="L4" s="1" t="s">
        <v>206</v>
      </c>
      <c r="M4" s="1" t="s">
        <v>207</v>
      </c>
      <c r="N4" s="1">
        <v>85.7</v>
      </c>
      <c r="O4" s="1">
        <v>92.7</v>
      </c>
      <c r="P4" s="10">
        <v>91</v>
      </c>
      <c r="Q4" s="6">
        <f t="shared" si="0"/>
        <v>89.8</v>
      </c>
      <c r="R4" s="1">
        <v>85.3</v>
      </c>
      <c r="S4" s="1">
        <v>80.8</v>
      </c>
      <c r="T4" s="10">
        <v>83</v>
      </c>
      <c r="U4" s="6">
        <f t="shared" si="1"/>
        <v>83.033333333333331</v>
      </c>
      <c r="V4" s="10">
        <v>150</v>
      </c>
      <c r="W4" s="1">
        <v>162.4</v>
      </c>
      <c r="X4" s="1">
        <v>155.4</v>
      </c>
      <c r="Y4" s="6">
        <f t="shared" si="2"/>
        <v>155.93333333333331</v>
      </c>
      <c r="Z4" s="1">
        <v>147.30000000000001</v>
      </c>
      <c r="AA4" s="1">
        <v>162.69999999999999</v>
      </c>
      <c r="AB4" s="1">
        <v>159.69999999999999</v>
      </c>
      <c r="AC4" s="6">
        <f t="shared" si="3"/>
        <v>156.56666666666666</v>
      </c>
      <c r="AD4" s="10">
        <v>0</v>
      </c>
      <c r="AE4" s="10">
        <v>2</v>
      </c>
      <c r="AF4" s="10">
        <v>1</v>
      </c>
      <c r="AG4" s="10">
        <v>0</v>
      </c>
      <c r="AH4" s="10">
        <v>2</v>
      </c>
      <c r="AI4" s="10">
        <v>1</v>
      </c>
      <c r="AJ4" s="10">
        <f t="shared" si="4"/>
        <v>6</v>
      </c>
      <c r="AK4" s="10">
        <v>79</v>
      </c>
      <c r="AL4" s="1">
        <v>80.5</v>
      </c>
      <c r="AM4" s="1">
        <v>81.5</v>
      </c>
      <c r="AN4" s="10">
        <f t="shared" si="5"/>
        <v>80.333333333333329</v>
      </c>
      <c r="AO4" s="10">
        <f t="shared" si="6"/>
        <v>76.507936507936506</v>
      </c>
      <c r="AP4" s="10">
        <v>82</v>
      </c>
      <c r="AQ4" s="10">
        <v>86</v>
      </c>
      <c r="AR4" s="10">
        <v>87</v>
      </c>
      <c r="AS4" s="6">
        <f t="shared" si="7"/>
        <v>85</v>
      </c>
      <c r="AT4" s="6">
        <f t="shared" si="8"/>
        <v>80.952380952380949</v>
      </c>
      <c r="AU4" s="10">
        <v>71</v>
      </c>
      <c r="AV4" s="10">
        <v>75</v>
      </c>
      <c r="AW4" s="10">
        <v>77</v>
      </c>
      <c r="AX4" s="6">
        <f t="shared" si="9"/>
        <v>74.333333333333329</v>
      </c>
      <c r="AY4" s="6">
        <f t="shared" si="10"/>
        <v>70.793650793650784</v>
      </c>
      <c r="AZ4" s="10">
        <v>59</v>
      </c>
      <c r="BA4" s="1">
        <v>60.5</v>
      </c>
      <c r="BB4" s="10">
        <v>64</v>
      </c>
      <c r="BC4" s="6">
        <f t="shared" si="11"/>
        <v>61.166666666666664</v>
      </c>
      <c r="BD4" s="10">
        <f t="shared" si="12"/>
        <v>58.253968253968246</v>
      </c>
      <c r="BE4" s="10">
        <v>62</v>
      </c>
      <c r="BF4" s="1">
        <v>68.5</v>
      </c>
      <c r="BG4" s="10">
        <v>76</v>
      </c>
      <c r="BH4" s="10">
        <f t="shared" si="13"/>
        <v>61.166666666666664</v>
      </c>
      <c r="BI4" s="10">
        <f t="shared" si="14"/>
        <v>58.253968253968246</v>
      </c>
      <c r="BJ4" s="10">
        <v>62</v>
      </c>
      <c r="BK4" s="1">
        <v>63.5</v>
      </c>
      <c r="BL4" s="1">
        <v>51.5</v>
      </c>
      <c r="BM4" s="10">
        <f t="shared" si="15"/>
        <v>59</v>
      </c>
      <c r="BN4" s="10">
        <f t="shared" si="16"/>
        <v>56.19047619047619</v>
      </c>
      <c r="BO4" s="10">
        <v>83</v>
      </c>
      <c r="BP4" s="1">
        <v>84.5</v>
      </c>
      <c r="BQ4" s="10">
        <v>78</v>
      </c>
      <c r="BR4" s="1">
        <f t="shared" si="17"/>
        <v>81.833333333333329</v>
      </c>
      <c r="BS4" s="1">
        <f t="shared" si="18"/>
        <v>77.936507936507937</v>
      </c>
      <c r="BT4" s="1">
        <v>68.5</v>
      </c>
      <c r="BU4" s="10">
        <v>76</v>
      </c>
      <c r="BV4" s="1">
        <v>80.5</v>
      </c>
      <c r="BW4" s="10">
        <f t="shared" si="19"/>
        <v>75</v>
      </c>
      <c r="BX4" s="10">
        <f t="shared" si="20"/>
        <v>71.428571428571431</v>
      </c>
      <c r="BY4" s="10">
        <v>77</v>
      </c>
      <c r="BZ4" s="10">
        <v>78</v>
      </c>
      <c r="CA4" s="10">
        <v>78</v>
      </c>
      <c r="CB4" s="10">
        <f t="shared" si="21"/>
        <v>77.666666666666671</v>
      </c>
      <c r="CC4" s="10">
        <f t="shared" si="22"/>
        <v>73.968253968253975</v>
      </c>
      <c r="CD4" s="10">
        <v>80</v>
      </c>
      <c r="CE4" s="10">
        <v>81</v>
      </c>
      <c r="CF4" s="10">
        <v>81</v>
      </c>
      <c r="CG4" s="1">
        <f t="shared" si="23"/>
        <v>80.666666666666671</v>
      </c>
      <c r="CH4" s="1">
        <f t="shared" si="24"/>
        <v>76.825396825396837</v>
      </c>
      <c r="CI4" s="1">
        <v>74.5</v>
      </c>
      <c r="CJ4" s="10">
        <v>76</v>
      </c>
      <c r="CK4" s="10">
        <v>76</v>
      </c>
      <c r="CL4" s="10">
        <f t="shared" si="25"/>
        <v>75.5</v>
      </c>
      <c r="CM4" s="10">
        <f t="shared" si="26"/>
        <v>71.904761904761898</v>
      </c>
      <c r="CN4" s="10">
        <v>89</v>
      </c>
      <c r="CO4" s="10">
        <v>89</v>
      </c>
      <c r="CP4" s="10">
        <v>90</v>
      </c>
      <c r="CQ4" s="1">
        <f t="shared" si="27"/>
        <v>89.333333333333329</v>
      </c>
      <c r="CR4" s="1">
        <f t="shared" si="28"/>
        <v>85.079365079365076</v>
      </c>
      <c r="CS4" s="1">
        <v>65.5</v>
      </c>
      <c r="CT4" s="10">
        <v>71</v>
      </c>
      <c r="CU4" s="10">
        <v>74</v>
      </c>
      <c r="CV4" s="10">
        <f t="shared" si="29"/>
        <v>70.166666666666671</v>
      </c>
      <c r="CW4" s="10">
        <f t="shared" si="30"/>
        <v>66.825396825396837</v>
      </c>
      <c r="CX4" s="10">
        <v>77</v>
      </c>
      <c r="CY4" s="10">
        <v>82</v>
      </c>
      <c r="CZ4" s="10">
        <v>87</v>
      </c>
      <c r="DA4" s="10">
        <f t="shared" si="31"/>
        <v>82</v>
      </c>
      <c r="DB4" s="10">
        <f t="shared" si="32"/>
        <v>78.095238095238102</v>
      </c>
      <c r="DC4" s="10">
        <v>66</v>
      </c>
      <c r="DD4" s="10">
        <v>73</v>
      </c>
      <c r="DE4" s="1">
        <v>77.5</v>
      </c>
      <c r="DF4" s="1">
        <f t="shared" si="33"/>
        <v>72.166666666666671</v>
      </c>
      <c r="DG4" s="1">
        <f t="shared" si="34"/>
        <v>68.730158730158735</v>
      </c>
      <c r="DH4" s="1">
        <v>74.5</v>
      </c>
      <c r="DI4" s="10">
        <v>78</v>
      </c>
      <c r="DJ4" s="10">
        <v>79</v>
      </c>
      <c r="DK4" s="10">
        <f t="shared" si="35"/>
        <v>77.166666666666671</v>
      </c>
      <c r="DL4" s="10">
        <f t="shared" si="36"/>
        <v>73.492063492063494</v>
      </c>
      <c r="DM4" s="10">
        <v>81</v>
      </c>
      <c r="DN4" s="10">
        <v>85</v>
      </c>
      <c r="DO4" s="10">
        <v>86</v>
      </c>
      <c r="DP4" s="6">
        <f t="shared" si="37"/>
        <v>84</v>
      </c>
      <c r="DQ4" s="10">
        <f t="shared" si="38"/>
        <v>80</v>
      </c>
      <c r="DR4" s="10">
        <v>80</v>
      </c>
      <c r="DS4" s="10">
        <v>84</v>
      </c>
      <c r="DT4" s="10">
        <v>86</v>
      </c>
      <c r="DU4" s="6">
        <f t="shared" si="39"/>
        <v>83.333333333333329</v>
      </c>
      <c r="DV4" s="1">
        <f t="shared" si="40"/>
        <v>79.365079365079367</v>
      </c>
      <c r="DW4" s="1">
        <v>74.5</v>
      </c>
      <c r="DX4" s="1">
        <v>74.5</v>
      </c>
      <c r="DY4" s="1">
        <v>75.5</v>
      </c>
      <c r="DZ4" s="6">
        <f t="shared" si="41"/>
        <v>74.833333333333329</v>
      </c>
      <c r="EA4" s="6">
        <f t="shared" si="42"/>
        <v>71.269841269841265</v>
      </c>
      <c r="EB4" s="1">
        <v>62.5</v>
      </c>
      <c r="EC4" s="1">
        <v>63.5</v>
      </c>
      <c r="ED4" s="10">
        <v>65</v>
      </c>
      <c r="EE4" s="6">
        <f t="shared" si="43"/>
        <v>63.666666666666664</v>
      </c>
      <c r="EF4" s="6">
        <f t="shared" si="44"/>
        <v>60.634920634920633</v>
      </c>
      <c r="EG4" s="1">
        <v>80.5</v>
      </c>
      <c r="EH4" s="1">
        <v>80.5</v>
      </c>
      <c r="EI4" s="1">
        <v>82.5</v>
      </c>
      <c r="EJ4" s="6">
        <f t="shared" si="45"/>
        <v>81.166666666666671</v>
      </c>
      <c r="EK4" s="6">
        <f t="shared" si="46"/>
        <v>77.301587301587304</v>
      </c>
      <c r="EL4" s="1">
        <v>70.5</v>
      </c>
      <c r="EM4" s="10">
        <v>73</v>
      </c>
      <c r="EN4" s="10">
        <v>73</v>
      </c>
      <c r="EO4" s="6">
        <f t="shared" si="47"/>
        <v>72.166666666666671</v>
      </c>
      <c r="EP4" s="6">
        <f t="shared" si="48"/>
        <v>68.730158730158735</v>
      </c>
      <c r="EQ4" s="1">
        <v>83.5</v>
      </c>
      <c r="ER4" s="10">
        <v>86</v>
      </c>
      <c r="ES4" s="1">
        <v>73.5</v>
      </c>
      <c r="ET4" s="6">
        <f t="shared" si="49"/>
        <v>81</v>
      </c>
      <c r="EU4" s="6">
        <f t="shared" si="50"/>
        <v>77.142857142857153</v>
      </c>
      <c r="EV4" s="10">
        <v>76</v>
      </c>
      <c r="EW4" s="10">
        <v>83</v>
      </c>
      <c r="EX4" s="10">
        <v>85</v>
      </c>
      <c r="EY4" s="6">
        <f t="shared" si="51"/>
        <v>81.333333333333329</v>
      </c>
      <c r="EZ4" s="6">
        <f t="shared" si="52"/>
        <v>77.460317460317455</v>
      </c>
      <c r="FA4" s="10">
        <v>65</v>
      </c>
      <c r="FB4" s="10">
        <v>68</v>
      </c>
      <c r="FC4" s="10">
        <v>93</v>
      </c>
      <c r="FD4" s="6">
        <f t="shared" si="53"/>
        <v>75.333333333333329</v>
      </c>
      <c r="FE4" s="6">
        <f t="shared" si="54"/>
        <v>71.746031746031747</v>
      </c>
      <c r="FF4" s="10">
        <v>88</v>
      </c>
      <c r="FG4" s="10">
        <v>92</v>
      </c>
      <c r="FH4" s="10">
        <v>102</v>
      </c>
      <c r="FI4" s="6">
        <f t="shared" si="55"/>
        <v>94</v>
      </c>
      <c r="FJ4" s="6">
        <f t="shared" si="56"/>
        <v>89.523809523809533</v>
      </c>
      <c r="FK4" s="10">
        <v>85</v>
      </c>
      <c r="FL4" s="10">
        <v>99</v>
      </c>
      <c r="FM4" s="10">
        <v>110</v>
      </c>
      <c r="FN4" s="6">
        <f t="shared" si="57"/>
        <v>98</v>
      </c>
      <c r="FO4" s="6">
        <f t="shared" si="58"/>
        <v>93.333333333333329</v>
      </c>
      <c r="FP4" s="1">
        <v>101.5</v>
      </c>
      <c r="FQ4" s="1">
        <v>103.5</v>
      </c>
      <c r="FR4" s="10">
        <v>90</v>
      </c>
      <c r="FS4" s="6">
        <f t="shared" si="59"/>
        <v>98.333333333333329</v>
      </c>
      <c r="FT4" s="6">
        <f t="shared" si="60"/>
        <v>93.650793650793645</v>
      </c>
      <c r="FU4" s="10">
        <v>87</v>
      </c>
      <c r="FV4" s="10">
        <v>90</v>
      </c>
      <c r="FW4" s="10">
        <v>100</v>
      </c>
      <c r="FX4" s="6">
        <f t="shared" si="61"/>
        <v>92.333333333333329</v>
      </c>
      <c r="FY4" s="6">
        <f t="shared" si="62"/>
        <v>87.936507936507937</v>
      </c>
      <c r="FZ4" s="10">
        <v>80</v>
      </c>
      <c r="GA4" s="10">
        <v>81</v>
      </c>
      <c r="GB4" s="1">
        <v>83.5</v>
      </c>
      <c r="GC4" s="6">
        <f t="shared" si="63"/>
        <v>81.5</v>
      </c>
      <c r="GD4" s="6">
        <f t="shared" si="64"/>
        <v>77.61904761904762</v>
      </c>
      <c r="GE4" s="10">
        <v>64</v>
      </c>
      <c r="GF4" s="1">
        <v>68.5</v>
      </c>
      <c r="GG4" s="10">
        <v>80</v>
      </c>
      <c r="GH4" s="6">
        <f t="shared" si="65"/>
        <v>70.833333333333329</v>
      </c>
      <c r="GI4" s="6">
        <f t="shared" si="66"/>
        <v>67.460317460317455</v>
      </c>
      <c r="GJ4" s="1">
        <v>86.5</v>
      </c>
      <c r="GK4" s="10">
        <v>87</v>
      </c>
      <c r="GL4" s="10">
        <v>87</v>
      </c>
      <c r="GM4" s="6">
        <f t="shared" si="67"/>
        <v>86.833333333333329</v>
      </c>
      <c r="GN4" s="6">
        <f t="shared" si="68"/>
        <v>82.698412698412696</v>
      </c>
      <c r="GO4" s="10">
        <v>70.75</v>
      </c>
      <c r="GP4" s="11" t="s">
        <v>208</v>
      </c>
      <c r="GQ4" s="6"/>
      <c r="GR4" s="12"/>
      <c r="GS4" s="12">
        <f t="shared" si="72"/>
        <v>80.829078226085258</v>
      </c>
      <c r="GT4" s="12"/>
      <c r="GU4" s="12">
        <f t="shared" si="73"/>
        <v>70.615079365079367</v>
      </c>
      <c r="GV4" s="12">
        <f t="shared" si="69"/>
        <v>72.539682539682531</v>
      </c>
      <c r="GW4" s="12">
        <f t="shared" si="74"/>
        <v>1.9246031746031633</v>
      </c>
      <c r="GX4" s="12"/>
      <c r="GY4" s="12"/>
      <c r="GZ4" s="13">
        <f t="shared" si="75"/>
        <v>80.829078226085258</v>
      </c>
      <c r="HA4" s="6"/>
      <c r="HB4" s="10">
        <f t="shared" si="70"/>
        <v>0.43650793650793673</v>
      </c>
      <c r="HD4" s="10">
        <f t="shared" si="76"/>
        <v>78.273809523809518</v>
      </c>
      <c r="HE4" s="10">
        <f t="shared" si="71"/>
        <v>78.710317460317455</v>
      </c>
      <c r="HG4" s="10"/>
      <c r="HH4" s="10"/>
    </row>
    <row r="5" spans="1:216" ht="15.75" customHeight="1">
      <c r="A5" s="1" t="s">
        <v>211</v>
      </c>
      <c r="B5" s="10">
        <v>21</v>
      </c>
      <c r="C5" s="1" t="s">
        <v>203</v>
      </c>
      <c r="D5" s="10">
        <v>78</v>
      </c>
      <c r="E5" s="10">
        <v>176</v>
      </c>
      <c r="F5" s="10">
        <v>93</v>
      </c>
      <c r="G5" s="1" t="s">
        <v>204</v>
      </c>
      <c r="H5" s="1" t="s">
        <v>205</v>
      </c>
      <c r="I5" s="1" t="s">
        <v>204</v>
      </c>
      <c r="J5" s="1" t="s">
        <v>204</v>
      </c>
      <c r="K5" s="10">
        <v>7</v>
      </c>
      <c r="L5" s="1" t="s">
        <v>206</v>
      </c>
      <c r="M5" s="1" t="s">
        <v>207</v>
      </c>
      <c r="N5" s="1">
        <v>84.3</v>
      </c>
      <c r="O5" s="1">
        <v>79.5</v>
      </c>
      <c r="P5" s="1">
        <v>88.4</v>
      </c>
      <c r="Q5" s="6">
        <f t="shared" si="0"/>
        <v>84.066666666666677</v>
      </c>
      <c r="R5" s="10">
        <v>77</v>
      </c>
      <c r="S5" s="1">
        <v>81.400000000000006</v>
      </c>
      <c r="T5" s="1">
        <v>80.400000000000006</v>
      </c>
      <c r="U5" s="6">
        <f t="shared" si="1"/>
        <v>79.600000000000009</v>
      </c>
      <c r="V5" s="10">
        <v>156</v>
      </c>
      <c r="W5" s="10">
        <v>159</v>
      </c>
      <c r="X5" s="1">
        <v>157.5</v>
      </c>
      <c r="Y5" s="6">
        <f t="shared" si="2"/>
        <v>157.5</v>
      </c>
      <c r="Z5" s="1">
        <v>164.5</v>
      </c>
      <c r="AA5" s="1">
        <v>171.5</v>
      </c>
      <c r="AB5" s="1">
        <v>158.69999999999999</v>
      </c>
      <c r="AC5" s="6">
        <f t="shared" si="3"/>
        <v>164.9</v>
      </c>
      <c r="AD5" s="10">
        <v>0</v>
      </c>
      <c r="AE5" s="10">
        <v>2</v>
      </c>
      <c r="AF5" s="10">
        <v>1</v>
      </c>
      <c r="AG5" s="10">
        <v>0</v>
      </c>
      <c r="AH5" s="10">
        <v>5</v>
      </c>
      <c r="AI5" s="10">
        <v>0</v>
      </c>
      <c r="AJ5" s="10">
        <f t="shared" si="4"/>
        <v>8</v>
      </c>
      <c r="AK5" s="10">
        <v>81</v>
      </c>
      <c r="AL5" s="10">
        <v>86</v>
      </c>
      <c r="AM5" s="10">
        <v>89</v>
      </c>
      <c r="AN5" s="10">
        <f t="shared" si="5"/>
        <v>85.333333333333329</v>
      </c>
      <c r="AO5" s="10">
        <f t="shared" si="6"/>
        <v>91.756272401433691</v>
      </c>
      <c r="AP5" s="10">
        <v>93</v>
      </c>
      <c r="AQ5" s="10">
        <v>98</v>
      </c>
      <c r="AR5" s="10">
        <v>100</v>
      </c>
      <c r="AS5" s="6">
        <f t="shared" si="7"/>
        <v>97</v>
      </c>
      <c r="AT5" s="6">
        <f t="shared" si="8"/>
        <v>104.3010752688172</v>
      </c>
      <c r="AU5" s="10">
        <v>72</v>
      </c>
      <c r="AV5" s="10">
        <v>84</v>
      </c>
      <c r="AW5" s="10">
        <v>86</v>
      </c>
      <c r="AX5" s="6">
        <f t="shared" si="9"/>
        <v>80.666666666666671</v>
      </c>
      <c r="AY5" s="6">
        <f t="shared" si="10"/>
        <v>86.738351254480293</v>
      </c>
      <c r="AZ5" s="10">
        <v>70</v>
      </c>
      <c r="BA5" s="10">
        <v>76</v>
      </c>
      <c r="BB5" s="10">
        <v>76</v>
      </c>
      <c r="BC5" s="6">
        <f t="shared" si="11"/>
        <v>74</v>
      </c>
      <c r="BD5" s="10">
        <f t="shared" si="12"/>
        <v>79.569892473118273</v>
      </c>
      <c r="BE5" s="10">
        <v>81</v>
      </c>
      <c r="BF5" s="10">
        <v>91</v>
      </c>
      <c r="BG5" s="10">
        <v>97</v>
      </c>
      <c r="BH5" s="10">
        <f t="shared" si="13"/>
        <v>74</v>
      </c>
      <c r="BI5" s="10">
        <f t="shared" si="14"/>
        <v>79.569892473118273</v>
      </c>
      <c r="BJ5" s="10">
        <v>62</v>
      </c>
      <c r="BK5" s="10">
        <v>66</v>
      </c>
      <c r="BL5" s="10">
        <v>73</v>
      </c>
      <c r="BM5" s="10">
        <f t="shared" si="15"/>
        <v>67</v>
      </c>
      <c r="BN5" s="10">
        <f t="shared" si="16"/>
        <v>72.043010752688176</v>
      </c>
      <c r="BO5" s="10">
        <v>81</v>
      </c>
      <c r="BP5" s="10">
        <v>90</v>
      </c>
      <c r="BQ5" s="10">
        <v>94</v>
      </c>
      <c r="BR5" s="1">
        <f t="shared" si="17"/>
        <v>88.333333333333329</v>
      </c>
      <c r="BS5" s="1">
        <f t="shared" si="18"/>
        <v>94.982078853046588</v>
      </c>
      <c r="BT5" s="10">
        <v>76</v>
      </c>
      <c r="BU5" s="10">
        <v>70</v>
      </c>
      <c r="BV5" s="10">
        <v>74</v>
      </c>
      <c r="BW5" s="10">
        <f t="shared" si="19"/>
        <v>73.333333333333329</v>
      </c>
      <c r="BX5" s="10">
        <f t="shared" si="20"/>
        <v>78.853046594982075</v>
      </c>
      <c r="BY5" s="10">
        <v>65</v>
      </c>
      <c r="BZ5" s="10">
        <v>77</v>
      </c>
      <c r="CA5" s="10">
        <v>83</v>
      </c>
      <c r="CB5" s="10">
        <f t="shared" si="21"/>
        <v>75</v>
      </c>
      <c r="CC5" s="10">
        <f t="shared" si="22"/>
        <v>80.645161290322577</v>
      </c>
      <c r="CD5" s="10">
        <v>74</v>
      </c>
      <c r="CE5" s="10">
        <v>74</v>
      </c>
      <c r="CF5" s="10">
        <v>79</v>
      </c>
      <c r="CG5" s="1">
        <f t="shared" si="23"/>
        <v>75.666666666666671</v>
      </c>
      <c r="CH5" s="1">
        <f t="shared" si="24"/>
        <v>81.362007168458788</v>
      </c>
      <c r="CI5" s="10">
        <v>70</v>
      </c>
      <c r="CJ5" s="10">
        <v>73</v>
      </c>
      <c r="CK5" s="10">
        <v>75</v>
      </c>
      <c r="CL5" s="10">
        <f t="shared" si="25"/>
        <v>72.666666666666671</v>
      </c>
      <c r="CM5" s="10">
        <f t="shared" si="26"/>
        <v>78.136200716845877</v>
      </c>
      <c r="CN5" s="10">
        <v>70</v>
      </c>
      <c r="CO5" s="10">
        <v>73</v>
      </c>
      <c r="CP5" s="10">
        <v>81</v>
      </c>
      <c r="CQ5" s="1">
        <f t="shared" si="27"/>
        <v>74.666666666666671</v>
      </c>
      <c r="CR5" s="1">
        <f t="shared" si="28"/>
        <v>80.286738351254485</v>
      </c>
      <c r="CS5" s="10">
        <v>57</v>
      </c>
      <c r="CT5" s="10">
        <v>66</v>
      </c>
      <c r="CU5" s="10">
        <v>69</v>
      </c>
      <c r="CV5" s="10">
        <f t="shared" si="29"/>
        <v>64</v>
      </c>
      <c r="CW5" s="10">
        <f t="shared" si="30"/>
        <v>68.817204301075279</v>
      </c>
      <c r="CX5" s="10">
        <v>78</v>
      </c>
      <c r="CY5" s="10">
        <v>84</v>
      </c>
      <c r="CZ5" s="10">
        <v>92</v>
      </c>
      <c r="DA5" s="10">
        <f t="shared" si="31"/>
        <v>84.666666666666671</v>
      </c>
      <c r="DB5" s="10">
        <f t="shared" si="32"/>
        <v>91.039426523297493</v>
      </c>
      <c r="DC5" s="10">
        <v>67</v>
      </c>
      <c r="DD5" s="10">
        <v>72</v>
      </c>
      <c r="DE5" s="10">
        <v>74</v>
      </c>
      <c r="DF5" s="1">
        <f t="shared" si="33"/>
        <v>71</v>
      </c>
      <c r="DG5" s="1">
        <f t="shared" si="34"/>
        <v>76.344086021505376</v>
      </c>
      <c r="DH5" s="10">
        <v>84</v>
      </c>
      <c r="DI5" s="10">
        <v>93</v>
      </c>
      <c r="DJ5" s="10">
        <v>94</v>
      </c>
      <c r="DK5" s="10">
        <f t="shared" si="35"/>
        <v>90.333333333333329</v>
      </c>
      <c r="DL5" s="10">
        <f t="shared" si="36"/>
        <v>97.132616487455195</v>
      </c>
      <c r="DM5" s="10">
        <v>65</v>
      </c>
      <c r="DN5" s="10">
        <v>69</v>
      </c>
      <c r="DO5" s="10">
        <v>71</v>
      </c>
      <c r="DP5" s="6">
        <f t="shared" si="37"/>
        <v>68.333333333333329</v>
      </c>
      <c r="DQ5" s="10">
        <f t="shared" si="38"/>
        <v>73.476702508960571</v>
      </c>
      <c r="DR5" s="10">
        <v>65</v>
      </c>
      <c r="DS5" s="10">
        <v>73</v>
      </c>
      <c r="DT5" s="10">
        <v>77</v>
      </c>
      <c r="DU5" s="6">
        <f t="shared" si="39"/>
        <v>71.666666666666671</v>
      </c>
      <c r="DV5" s="1">
        <f t="shared" si="40"/>
        <v>77.060931899641588</v>
      </c>
      <c r="DW5" s="10">
        <v>79</v>
      </c>
      <c r="DX5" s="10">
        <v>88</v>
      </c>
      <c r="DY5" s="10">
        <v>92</v>
      </c>
      <c r="DZ5" s="6">
        <f t="shared" si="41"/>
        <v>86.333333333333329</v>
      </c>
      <c r="EA5" s="6">
        <f t="shared" si="42"/>
        <v>92.831541218637994</v>
      </c>
      <c r="EB5" s="10">
        <v>73</v>
      </c>
      <c r="EC5" s="10">
        <v>73</v>
      </c>
      <c r="ED5" s="10">
        <v>74</v>
      </c>
      <c r="EE5" s="6">
        <f t="shared" si="43"/>
        <v>73.333333333333329</v>
      </c>
      <c r="EF5" s="6">
        <f t="shared" si="44"/>
        <v>78.853046594982075</v>
      </c>
      <c r="EG5" s="10">
        <v>80</v>
      </c>
      <c r="EH5" s="10">
        <v>86</v>
      </c>
      <c r="EI5" s="10">
        <v>90</v>
      </c>
      <c r="EJ5" s="6">
        <f t="shared" si="45"/>
        <v>85.333333333333329</v>
      </c>
      <c r="EK5" s="6">
        <f t="shared" si="46"/>
        <v>91.756272401433691</v>
      </c>
      <c r="EL5" s="10">
        <v>45</v>
      </c>
      <c r="EM5" s="10">
        <v>55</v>
      </c>
      <c r="EN5" s="10">
        <v>55</v>
      </c>
      <c r="EO5" s="6">
        <f t="shared" si="47"/>
        <v>51.666666666666664</v>
      </c>
      <c r="EP5" s="6">
        <f t="shared" si="48"/>
        <v>55.555555555555557</v>
      </c>
      <c r="EQ5" s="10">
        <v>79</v>
      </c>
      <c r="ER5" s="10">
        <v>84</v>
      </c>
      <c r="ES5" s="10">
        <v>88</v>
      </c>
      <c r="ET5" s="6">
        <f t="shared" si="49"/>
        <v>83.666666666666671</v>
      </c>
      <c r="EU5" s="6">
        <f t="shared" si="50"/>
        <v>89.964157706093189</v>
      </c>
      <c r="EV5" s="10">
        <v>74</v>
      </c>
      <c r="EW5" s="10">
        <v>75</v>
      </c>
      <c r="EX5" s="10">
        <v>76</v>
      </c>
      <c r="EY5" s="6">
        <f t="shared" si="51"/>
        <v>75</v>
      </c>
      <c r="EZ5" s="6">
        <f t="shared" si="52"/>
        <v>80.645161290322577</v>
      </c>
      <c r="FA5" s="10">
        <v>61</v>
      </c>
      <c r="FB5" s="10">
        <v>64</v>
      </c>
      <c r="FC5" s="10">
        <v>69</v>
      </c>
      <c r="FD5" s="6">
        <f t="shared" si="53"/>
        <v>64.666666666666671</v>
      </c>
      <c r="FE5" s="6">
        <f t="shared" si="54"/>
        <v>69.534050179211476</v>
      </c>
      <c r="FF5" s="10">
        <v>69</v>
      </c>
      <c r="FG5" s="10">
        <v>67</v>
      </c>
      <c r="FH5" s="10">
        <v>73</v>
      </c>
      <c r="FI5" s="6">
        <f t="shared" si="55"/>
        <v>69.666666666666671</v>
      </c>
      <c r="FJ5" s="6">
        <f t="shared" si="56"/>
        <v>74.910394265232981</v>
      </c>
      <c r="FK5" s="10">
        <v>71</v>
      </c>
      <c r="FL5" s="10">
        <v>72</v>
      </c>
      <c r="FM5" s="10">
        <v>75</v>
      </c>
      <c r="FN5" s="6">
        <f t="shared" si="57"/>
        <v>72.666666666666671</v>
      </c>
      <c r="FO5" s="6">
        <f t="shared" si="58"/>
        <v>78.136200716845877</v>
      </c>
      <c r="FP5" s="10">
        <v>80</v>
      </c>
      <c r="FQ5" s="10">
        <v>82</v>
      </c>
      <c r="FR5" s="10">
        <v>83</v>
      </c>
      <c r="FS5" s="6">
        <f t="shared" si="59"/>
        <v>81.666666666666671</v>
      </c>
      <c r="FT5" s="6">
        <f t="shared" si="60"/>
        <v>87.813620071684596</v>
      </c>
      <c r="FU5" s="10">
        <v>69</v>
      </c>
      <c r="FV5" s="10">
        <v>72</v>
      </c>
      <c r="FW5" s="10">
        <v>74</v>
      </c>
      <c r="FX5" s="6">
        <f t="shared" si="61"/>
        <v>71.666666666666671</v>
      </c>
      <c r="FY5" s="6">
        <f t="shared" si="62"/>
        <v>77.060931899641588</v>
      </c>
      <c r="FZ5" s="10">
        <v>81</v>
      </c>
      <c r="GA5" s="10">
        <v>83</v>
      </c>
      <c r="GB5" s="10">
        <v>85</v>
      </c>
      <c r="GC5" s="6">
        <f t="shared" si="63"/>
        <v>83</v>
      </c>
      <c r="GD5" s="6">
        <f t="shared" si="64"/>
        <v>89.247311827956992</v>
      </c>
      <c r="GE5" s="10">
        <v>73</v>
      </c>
      <c r="GF5" s="10">
        <v>74</v>
      </c>
      <c r="GG5" s="10">
        <v>77</v>
      </c>
      <c r="GH5" s="6">
        <f t="shared" si="65"/>
        <v>74.666666666666671</v>
      </c>
      <c r="GI5" s="6">
        <f t="shared" si="66"/>
        <v>80.286738351254485</v>
      </c>
      <c r="GJ5" s="10">
        <v>84</v>
      </c>
      <c r="GK5" s="10">
        <v>85</v>
      </c>
      <c r="GL5" s="10">
        <v>89</v>
      </c>
      <c r="GM5" s="6">
        <f t="shared" si="67"/>
        <v>86</v>
      </c>
      <c r="GN5" s="6">
        <f t="shared" si="68"/>
        <v>92.473118279569889</v>
      </c>
      <c r="GO5" s="10">
        <v>70.8</v>
      </c>
      <c r="GP5" s="11" t="s">
        <v>208</v>
      </c>
      <c r="GQ5" s="6"/>
      <c r="GR5" s="12"/>
      <c r="GS5" s="12">
        <f t="shared" si="72"/>
        <v>82.222878320380403</v>
      </c>
      <c r="GT5" s="12"/>
      <c r="GU5" s="12">
        <f t="shared" si="73"/>
        <v>82.123655913978496</v>
      </c>
      <c r="GV5" s="12">
        <f t="shared" si="69"/>
        <v>85.573476702508955</v>
      </c>
      <c r="GW5" s="12">
        <f t="shared" si="74"/>
        <v>3.4498207885304595</v>
      </c>
      <c r="GX5" s="12"/>
      <c r="GY5" s="12"/>
      <c r="GZ5" s="13">
        <f t="shared" si="75"/>
        <v>82.222878320380403</v>
      </c>
      <c r="HA5" s="6"/>
      <c r="HB5" s="10">
        <f t="shared" si="70"/>
        <v>2.0609318996415738</v>
      </c>
      <c r="HD5" s="10">
        <f t="shared" si="76"/>
        <v>81.630824372759861</v>
      </c>
      <c r="HE5" s="10">
        <f t="shared" si="71"/>
        <v>79.569892473118287</v>
      </c>
      <c r="HG5" s="10"/>
      <c r="HH5" s="10"/>
    </row>
    <row r="6" spans="1:216" ht="15.75" customHeight="1">
      <c r="A6" s="1" t="s">
        <v>212</v>
      </c>
      <c r="B6" s="10">
        <v>18</v>
      </c>
      <c r="C6" s="1" t="s">
        <v>203</v>
      </c>
      <c r="D6" s="10">
        <v>78</v>
      </c>
      <c r="E6" s="10">
        <v>182</v>
      </c>
      <c r="F6" s="10">
        <v>97</v>
      </c>
      <c r="G6" s="1" t="s">
        <v>204</v>
      </c>
      <c r="H6" s="1" t="s">
        <v>205</v>
      </c>
      <c r="I6" s="1" t="s">
        <v>204</v>
      </c>
      <c r="J6" s="1" t="s">
        <v>204</v>
      </c>
      <c r="K6" s="10">
        <v>10</v>
      </c>
      <c r="L6" s="1" t="s">
        <v>206</v>
      </c>
      <c r="M6" s="1" t="s">
        <v>207</v>
      </c>
      <c r="N6" s="1">
        <v>79.8</v>
      </c>
      <c r="O6" s="1">
        <v>74.900000000000006</v>
      </c>
      <c r="P6" s="10">
        <v>81</v>
      </c>
      <c r="Q6" s="6">
        <f t="shared" si="0"/>
        <v>78.566666666666663</v>
      </c>
      <c r="R6" s="1">
        <v>73.599999999999994</v>
      </c>
      <c r="S6" s="1">
        <v>69.099999999999994</v>
      </c>
      <c r="T6" s="1">
        <v>71.3</v>
      </c>
      <c r="U6" s="6">
        <f t="shared" si="1"/>
        <v>71.333333333333329</v>
      </c>
      <c r="V6" s="1">
        <v>132.69999999999999</v>
      </c>
      <c r="W6" s="1">
        <v>130.6</v>
      </c>
      <c r="X6" s="1">
        <v>129.69999999999999</v>
      </c>
      <c r="Y6" s="6">
        <f t="shared" si="2"/>
        <v>130.99999999999997</v>
      </c>
      <c r="Z6" s="1">
        <v>136.6</v>
      </c>
      <c r="AA6" s="1">
        <v>131.19999999999999</v>
      </c>
      <c r="AB6" s="1">
        <v>131.5</v>
      </c>
      <c r="AC6" s="6">
        <f t="shared" si="3"/>
        <v>133.1</v>
      </c>
      <c r="AD6" s="10">
        <v>0</v>
      </c>
      <c r="AE6" s="10">
        <v>0</v>
      </c>
      <c r="AF6" s="10">
        <v>0</v>
      </c>
      <c r="AG6" s="10">
        <v>0</v>
      </c>
      <c r="AH6" s="10">
        <v>4</v>
      </c>
      <c r="AI6" s="10">
        <v>1</v>
      </c>
      <c r="AJ6" s="10">
        <f t="shared" si="4"/>
        <v>5</v>
      </c>
      <c r="AK6" s="10">
        <v>83</v>
      </c>
      <c r="AL6" s="10">
        <v>87</v>
      </c>
      <c r="AM6" s="10">
        <v>91</v>
      </c>
      <c r="AN6" s="10">
        <f t="shared" si="5"/>
        <v>87</v>
      </c>
      <c r="AO6" s="10">
        <f t="shared" si="6"/>
        <v>89.690721649484544</v>
      </c>
      <c r="AP6" s="1">
        <v>88.5</v>
      </c>
      <c r="AQ6" s="1">
        <v>90.5</v>
      </c>
      <c r="AR6" s="1">
        <v>91.5</v>
      </c>
      <c r="AS6" s="6">
        <f t="shared" si="7"/>
        <v>90.166666666666671</v>
      </c>
      <c r="AT6" s="6">
        <f t="shared" si="8"/>
        <v>92.955326460481103</v>
      </c>
      <c r="AU6" s="1">
        <v>79.5</v>
      </c>
      <c r="AV6" s="1">
        <v>84.5</v>
      </c>
      <c r="AW6" s="1">
        <v>89.5</v>
      </c>
      <c r="AX6" s="6">
        <f t="shared" si="9"/>
        <v>84.5</v>
      </c>
      <c r="AY6" s="6">
        <f t="shared" si="10"/>
        <v>87.113402061855666</v>
      </c>
      <c r="AZ6" s="1">
        <v>53.5</v>
      </c>
      <c r="BA6" s="1">
        <v>56.5</v>
      </c>
      <c r="BB6" s="1">
        <v>64.5</v>
      </c>
      <c r="BC6" s="6">
        <f t="shared" si="11"/>
        <v>58.166666666666664</v>
      </c>
      <c r="BD6" s="10">
        <f t="shared" si="12"/>
        <v>59.965635738831615</v>
      </c>
      <c r="BE6" s="10">
        <v>76</v>
      </c>
      <c r="BF6" s="10">
        <v>84</v>
      </c>
      <c r="BG6" s="10">
        <v>93</v>
      </c>
      <c r="BH6" s="10">
        <f t="shared" si="13"/>
        <v>58.166666666666664</v>
      </c>
      <c r="BI6" s="10">
        <f t="shared" si="14"/>
        <v>59.965635738831615</v>
      </c>
      <c r="BJ6" s="1">
        <v>71.5</v>
      </c>
      <c r="BK6" s="1">
        <v>79.5</v>
      </c>
      <c r="BL6" s="1">
        <v>78.5</v>
      </c>
      <c r="BM6" s="10">
        <f t="shared" si="15"/>
        <v>76.5</v>
      </c>
      <c r="BN6" s="10">
        <f t="shared" si="16"/>
        <v>78.865979381443296</v>
      </c>
      <c r="BO6" s="10">
        <v>79</v>
      </c>
      <c r="BP6" s="1">
        <v>88.5</v>
      </c>
      <c r="BQ6" s="1">
        <v>81.5</v>
      </c>
      <c r="BR6" s="1">
        <f t="shared" si="17"/>
        <v>83</v>
      </c>
      <c r="BS6" s="1">
        <f t="shared" si="18"/>
        <v>85.567010309278345</v>
      </c>
      <c r="BT6" s="1">
        <v>68.5</v>
      </c>
      <c r="BU6" s="1">
        <v>76.5</v>
      </c>
      <c r="BV6" s="10">
        <v>90</v>
      </c>
      <c r="BW6" s="10">
        <f t="shared" si="19"/>
        <v>78.333333333333329</v>
      </c>
      <c r="BX6" s="10">
        <f t="shared" si="20"/>
        <v>80.756013745704465</v>
      </c>
      <c r="BY6" s="10">
        <v>82</v>
      </c>
      <c r="BZ6" s="10">
        <v>90</v>
      </c>
      <c r="CA6" s="10">
        <v>92</v>
      </c>
      <c r="CB6" s="10">
        <f t="shared" si="21"/>
        <v>88</v>
      </c>
      <c r="CC6" s="10">
        <f t="shared" si="22"/>
        <v>90.721649484536087</v>
      </c>
      <c r="CD6" s="1">
        <v>78.5</v>
      </c>
      <c r="CE6" s="1">
        <v>85.5</v>
      </c>
      <c r="CF6" s="1">
        <v>89.5</v>
      </c>
      <c r="CG6" s="1">
        <f t="shared" si="23"/>
        <v>84.5</v>
      </c>
      <c r="CH6" s="1">
        <f t="shared" si="24"/>
        <v>87.113402061855666</v>
      </c>
      <c r="CI6" s="1">
        <v>76.5</v>
      </c>
      <c r="CJ6" s="1">
        <v>78.5</v>
      </c>
      <c r="CK6" s="10">
        <v>81</v>
      </c>
      <c r="CL6" s="10">
        <f t="shared" si="25"/>
        <v>78.666666666666671</v>
      </c>
      <c r="CM6" s="10">
        <f t="shared" si="26"/>
        <v>81.099656357388312</v>
      </c>
      <c r="CN6" s="1">
        <v>76.5</v>
      </c>
      <c r="CO6" s="1">
        <v>85.5</v>
      </c>
      <c r="CP6" s="1">
        <v>92.5</v>
      </c>
      <c r="CQ6" s="1">
        <f t="shared" si="27"/>
        <v>84.833333333333329</v>
      </c>
      <c r="CR6" s="1">
        <f t="shared" si="28"/>
        <v>87.457044673539514</v>
      </c>
      <c r="CS6" s="1">
        <v>77.5</v>
      </c>
      <c r="CT6" s="1">
        <v>81.5</v>
      </c>
      <c r="CU6" s="1">
        <v>85.5</v>
      </c>
      <c r="CV6" s="10">
        <f t="shared" si="29"/>
        <v>81.5</v>
      </c>
      <c r="CW6" s="10">
        <f t="shared" si="30"/>
        <v>84.020618556701038</v>
      </c>
      <c r="CX6" s="10">
        <v>82</v>
      </c>
      <c r="CY6" s="10">
        <v>99</v>
      </c>
      <c r="CZ6" s="10">
        <v>103</v>
      </c>
      <c r="DA6" s="10">
        <f t="shared" si="31"/>
        <v>94.666666666666671</v>
      </c>
      <c r="DB6" s="10">
        <f t="shared" si="32"/>
        <v>97.594501718213067</v>
      </c>
      <c r="DC6" s="1">
        <v>68.5</v>
      </c>
      <c r="DD6" s="1">
        <v>70.5</v>
      </c>
      <c r="DE6" s="1">
        <v>74.5</v>
      </c>
      <c r="DF6" s="1">
        <f t="shared" si="33"/>
        <v>71.166666666666671</v>
      </c>
      <c r="DG6" s="1">
        <f t="shared" si="34"/>
        <v>73.36769759450172</v>
      </c>
      <c r="DH6" s="1">
        <v>83.5</v>
      </c>
      <c r="DI6" s="1">
        <v>85.5</v>
      </c>
      <c r="DJ6" s="10">
        <v>87</v>
      </c>
      <c r="DK6" s="10">
        <f t="shared" si="35"/>
        <v>85.333333333333329</v>
      </c>
      <c r="DL6" s="10">
        <f t="shared" si="36"/>
        <v>87.972508591065292</v>
      </c>
      <c r="DM6" s="10">
        <v>88</v>
      </c>
      <c r="DN6" s="10">
        <v>92</v>
      </c>
      <c r="DO6" s="10">
        <v>94</v>
      </c>
      <c r="DP6" s="6">
        <f t="shared" si="37"/>
        <v>91.333333333333329</v>
      </c>
      <c r="DQ6" s="10">
        <f t="shared" si="38"/>
        <v>94.158075601374563</v>
      </c>
      <c r="DR6" s="1">
        <v>88.5</v>
      </c>
      <c r="DS6" s="10">
        <v>91</v>
      </c>
      <c r="DT6" s="10">
        <v>95</v>
      </c>
      <c r="DU6" s="6">
        <f t="shared" si="39"/>
        <v>91.5</v>
      </c>
      <c r="DV6" s="1">
        <f t="shared" si="40"/>
        <v>94.329896907216494</v>
      </c>
      <c r="DW6" s="1">
        <v>77.5</v>
      </c>
      <c r="DX6" s="10">
        <v>81</v>
      </c>
      <c r="DY6" s="1">
        <v>81.5</v>
      </c>
      <c r="DZ6" s="6">
        <f t="shared" si="41"/>
        <v>80</v>
      </c>
      <c r="EA6" s="6">
        <f t="shared" si="42"/>
        <v>82.474226804123703</v>
      </c>
      <c r="EB6" s="1">
        <v>56.5</v>
      </c>
      <c r="EC6" s="1">
        <v>62.5</v>
      </c>
      <c r="ED6" s="1">
        <v>66.5</v>
      </c>
      <c r="EE6" s="6">
        <f t="shared" si="43"/>
        <v>61.833333333333336</v>
      </c>
      <c r="EF6" s="6">
        <f t="shared" si="44"/>
        <v>63.74570446735396</v>
      </c>
      <c r="EG6" s="10">
        <v>75</v>
      </c>
      <c r="EH6" s="1">
        <v>77.5</v>
      </c>
      <c r="EI6" s="1">
        <v>82.5</v>
      </c>
      <c r="EJ6" s="6">
        <f t="shared" si="45"/>
        <v>78.333333333333329</v>
      </c>
      <c r="EK6" s="6">
        <f t="shared" si="46"/>
        <v>80.756013745704465</v>
      </c>
      <c r="EL6" s="1">
        <v>69.5</v>
      </c>
      <c r="EM6" s="1">
        <v>73.5</v>
      </c>
      <c r="EN6" s="1">
        <v>74.5</v>
      </c>
      <c r="EO6" s="6">
        <f t="shared" si="47"/>
        <v>72.5</v>
      </c>
      <c r="EP6" s="6">
        <f t="shared" si="48"/>
        <v>74.742268041237111</v>
      </c>
      <c r="EQ6" s="1">
        <v>77.5</v>
      </c>
      <c r="ER6" s="10">
        <v>78</v>
      </c>
      <c r="ES6" s="10">
        <v>87</v>
      </c>
      <c r="ET6" s="6">
        <f t="shared" si="49"/>
        <v>80.833333333333329</v>
      </c>
      <c r="EU6" s="6">
        <f t="shared" si="50"/>
        <v>83.333333333333329</v>
      </c>
      <c r="EV6" s="1">
        <v>75.5</v>
      </c>
      <c r="EW6" s="10">
        <v>78</v>
      </c>
      <c r="EX6" s="10">
        <v>83</v>
      </c>
      <c r="EY6" s="6">
        <f t="shared" si="51"/>
        <v>78.833333333333329</v>
      </c>
      <c r="EZ6" s="6">
        <f t="shared" si="52"/>
        <v>81.271477663230243</v>
      </c>
      <c r="FA6" s="10">
        <v>81</v>
      </c>
      <c r="FB6" s="10">
        <v>83</v>
      </c>
      <c r="FC6" s="10">
        <v>85</v>
      </c>
      <c r="FD6" s="6">
        <f t="shared" si="53"/>
        <v>83</v>
      </c>
      <c r="FE6" s="6">
        <f t="shared" si="54"/>
        <v>85.567010309278345</v>
      </c>
      <c r="FF6" s="1">
        <v>78.5</v>
      </c>
      <c r="FG6" s="1">
        <v>84.5</v>
      </c>
      <c r="FH6" s="10">
        <v>89</v>
      </c>
      <c r="FI6" s="6">
        <f t="shared" si="55"/>
        <v>84</v>
      </c>
      <c r="FJ6" s="6">
        <f t="shared" si="56"/>
        <v>86.597938144329902</v>
      </c>
      <c r="FK6" s="1">
        <v>71.5</v>
      </c>
      <c r="FL6" s="10">
        <v>78</v>
      </c>
      <c r="FM6" s="1">
        <v>80.5</v>
      </c>
      <c r="FN6" s="6">
        <f t="shared" si="57"/>
        <v>76.666666666666671</v>
      </c>
      <c r="FO6" s="6">
        <f t="shared" si="58"/>
        <v>79.037800687285227</v>
      </c>
      <c r="FP6" s="1">
        <v>75.5</v>
      </c>
      <c r="FQ6" s="1">
        <v>84.5</v>
      </c>
      <c r="FR6" s="1">
        <v>88.5</v>
      </c>
      <c r="FS6" s="6">
        <f t="shared" si="59"/>
        <v>82.833333333333329</v>
      </c>
      <c r="FT6" s="6">
        <f t="shared" si="60"/>
        <v>85.395189003436428</v>
      </c>
      <c r="FU6" s="10">
        <v>68</v>
      </c>
      <c r="FV6" s="1">
        <v>75.5</v>
      </c>
      <c r="FW6" s="10">
        <v>77</v>
      </c>
      <c r="FX6" s="6">
        <f t="shared" si="61"/>
        <v>73.5</v>
      </c>
      <c r="FY6" s="6">
        <f t="shared" si="62"/>
        <v>75.773195876288653</v>
      </c>
      <c r="FZ6" s="10">
        <v>80</v>
      </c>
      <c r="GA6" s="1">
        <v>82.5</v>
      </c>
      <c r="GB6" s="10">
        <v>86</v>
      </c>
      <c r="GC6" s="6">
        <f t="shared" si="63"/>
        <v>82.833333333333329</v>
      </c>
      <c r="GD6" s="6">
        <f t="shared" si="64"/>
        <v>85.395189003436428</v>
      </c>
      <c r="GE6" s="1">
        <v>59.5</v>
      </c>
      <c r="GF6" s="10">
        <v>61</v>
      </c>
      <c r="GG6" s="1">
        <v>65.5</v>
      </c>
      <c r="GH6" s="6">
        <f t="shared" si="65"/>
        <v>62</v>
      </c>
      <c r="GI6" s="6">
        <f t="shared" si="66"/>
        <v>63.917525773195869</v>
      </c>
      <c r="GJ6" s="1">
        <v>82.5</v>
      </c>
      <c r="GK6" s="1">
        <v>84.5</v>
      </c>
      <c r="GL6" s="10">
        <v>85</v>
      </c>
      <c r="GM6" s="6">
        <f t="shared" si="67"/>
        <v>84</v>
      </c>
      <c r="GN6" s="6">
        <f t="shared" si="68"/>
        <v>86.597938144329902</v>
      </c>
      <c r="GO6" s="10">
        <v>70.8</v>
      </c>
      <c r="GP6" s="11" t="s">
        <v>208</v>
      </c>
      <c r="GQ6" s="6"/>
      <c r="GR6" s="12"/>
      <c r="GS6" s="12">
        <f t="shared" si="72"/>
        <v>82.518460258090201</v>
      </c>
      <c r="GT6" s="12"/>
      <c r="GU6" s="12">
        <f t="shared" si="73"/>
        <v>81.44329896907216</v>
      </c>
      <c r="GV6" s="12">
        <f t="shared" si="69"/>
        <v>84.085051546391767</v>
      </c>
      <c r="GW6" s="12">
        <f t="shared" si="74"/>
        <v>2.6417525773196076</v>
      </c>
      <c r="GX6" s="12"/>
      <c r="GY6" s="12"/>
      <c r="GZ6" s="13">
        <f t="shared" si="75"/>
        <v>82.518460258090201</v>
      </c>
      <c r="HA6" s="6"/>
      <c r="HB6" s="10">
        <f t="shared" si="70"/>
        <v>1.6323024054982795</v>
      </c>
      <c r="HD6" s="10">
        <f t="shared" si="76"/>
        <v>80.62714776632302</v>
      </c>
      <c r="HE6" s="10">
        <f t="shared" si="71"/>
        <v>82.2594501718213</v>
      </c>
      <c r="HG6" s="10"/>
      <c r="HH6" s="10"/>
    </row>
    <row r="7" spans="1:216" ht="15.75" customHeight="1">
      <c r="A7" s="1" t="s">
        <v>213</v>
      </c>
      <c r="B7" s="10">
        <v>24</v>
      </c>
      <c r="C7" s="1" t="s">
        <v>203</v>
      </c>
      <c r="D7" s="10">
        <v>100</v>
      </c>
      <c r="E7" s="10">
        <v>190</v>
      </c>
      <c r="F7" s="10">
        <v>100</v>
      </c>
      <c r="G7" s="1" t="s">
        <v>204</v>
      </c>
      <c r="H7" s="1" t="s">
        <v>205</v>
      </c>
      <c r="I7" s="1" t="s">
        <v>204</v>
      </c>
      <c r="J7" s="1" t="s">
        <v>204</v>
      </c>
      <c r="K7" s="10">
        <v>15</v>
      </c>
      <c r="L7" s="1" t="s">
        <v>206</v>
      </c>
      <c r="M7" s="1" t="s">
        <v>207</v>
      </c>
      <c r="N7" s="1">
        <v>88.9</v>
      </c>
      <c r="O7" s="1">
        <v>75.400000000000006</v>
      </c>
      <c r="P7" s="1">
        <v>75.099999999999994</v>
      </c>
      <c r="Q7" s="6">
        <f t="shared" si="0"/>
        <v>79.8</v>
      </c>
      <c r="R7" s="1">
        <v>76.099999999999994</v>
      </c>
      <c r="S7" s="1">
        <v>74.900000000000006</v>
      </c>
      <c r="T7" s="1">
        <v>88.4</v>
      </c>
      <c r="U7" s="6">
        <f t="shared" si="1"/>
        <v>79.8</v>
      </c>
      <c r="V7" s="1">
        <v>155.69999999999999</v>
      </c>
      <c r="W7" s="1">
        <v>133.80000000000001</v>
      </c>
      <c r="X7" s="1">
        <v>131.1</v>
      </c>
      <c r="Y7" s="6">
        <f t="shared" si="2"/>
        <v>140.20000000000002</v>
      </c>
      <c r="Z7" s="1">
        <v>137.1</v>
      </c>
      <c r="AA7" s="1">
        <v>146.19999999999999</v>
      </c>
      <c r="AB7" s="1">
        <v>136.9</v>
      </c>
      <c r="AC7" s="6">
        <f t="shared" si="3"/>
        <v>140.06666666666663</v>
      </c>
      <c r="AD7" s="10">
        <v>0</v>
      </c>
      <c r="AE7" s="10">
        <v>2</v>
      </c>
      <c r="AF7" s="10">
        <v>0</v>
      </c>
      <c r="AG7" s="10">
        <v>0</v>
      </c>
      <c r="AH7" s="10">
        <v>2</v>
      </c>
      <c r="AI7" s="10">
        <v>0</v>
      </c>
      <c r="AJ7" s="10">
        <f t="shared" si="4"/>
        <v>4</v>
      </c>
      <c r="AK7" s="10">
        <v>102</v>
      </c>
      <c r="AL7" s="10">
        <v>103</v>
      </c>
      <c r="AM7" s="1">
        <v>104.5</v>
      </c>
      <c r="AN7" s="10">
        <f t="shared" si="5"/>
        <v>103.16666666666667</v>
      </c>
      <c r="AO7" s="10">
        <f t="shared" si="6"/>
        <v>103.16666666666667</v>
      </c>
      <c r="AP7" s="10">
        <v>104</v>
      </c>
      <c r="AQ7" s="10">
        <v>106</v>
      </c>
      <c r="AR7" s="10">
        <v>107</v>
      </c>
      <c r="AS7" s="6">
        <f t="shared" si="7"/>
        <v>105.66666666666667</v>
      </c>
      <c r="AT7" s="6">
        <f t="shared" si="8"/>
        <v>105.66666666666666</v>
      </c>
      <c r="AU7" s="10">
        <v>87</v>
      </c>
      <c r="AV7" s="10">
        <v>92</v>
      </c>
      <c r="AW7" s="1">
        <v>92.5</v>
      </c>
      <c r="AX7" s="6">
        <f t="shared" si="9"/>
        <v>90.5</v>
      </c>
      <c r="AY7" s="6">
        <f t="shared" si="10"/>
        <v>90.5</v>
      </c>
      <c r="AZ7" s="10">
        <v>74</v>
      </c>
      <c r="BA7" s="10">
        <v>76</v>
      </c>
      <c r="BB7" s="1">
        <v>77.5</v>
      </c>
      <c r="BC7" s="6">
        <f t="shared" si="11"/>
        <v>75.833333333333329</v>
      </c>
      <c r="BD7" s="10">
        <f t="shared" si="12"/>
        <v>75.833333333333329</v>
      </c>
      <c r="BE7" s="1">
        <v>91.5</v>
      </c>
      <c r="BF7" s="1">
        <v>93.5</v>
      </c>
      <c r="BG7" s="1">
        <v>98.5</v>
      </c>
      <c r="BH7" s="10">
        <f t="shared" si="13"/>
        <v>75.833333333333329</v>
      </c>
      <c r="BI7" s="10">
        <f t="shared" si="14"/>
        <v>75.833333333333329</v>
      </c>
      <c r="BJ7" s="10">
        <v>74</v>
      </c>
      <c r="BK7" s="10">
        <v>76</v>
      </c>
      <c r="BL7" s="1">
        <v>77.5</v>
      </c>
      <c r="BM7" s="10">
        <f t="shared" si="15"/>
        <v>75.833333333333329</v>
      </c>
      <c r="BN7" s="10">
        <f t="shared" si="16"/>
        <v>75.833333333333329</v>
      </c>
      <c r="BO7" s="1">
        <v>91.5</v>
      </c>
      <c r="BP7" s="1">
        <v>93.5</v>
      </c>
      <c r="BQ7" s="1">
        <v>98.5</v>
      </c>
      <c r="BR7" s="1">
        <f t="shared" si="17"/>
        <v>94.5</v>
      </c>
      <c r="BS7" s="1">
        <f t="shared" si="18"/>
        <v>94.5</v>
      </c>
      <c r="BT7" s="10">
        <v>63</v>
      </c>
      <c r="BU7" s="10">
        <v>63</v>
      </c>
      <c r="BV7" s="10">
        <v>65</v>
      </c>
      <c r="BW7" s="10">
        <f t="shared" si="19"/>
        <v>63.666666666666664</v>
      </c>
      <c r="BX7" s="10">
        <f t="shared" si="20"/>
        <v>63.666666666666657</v>
      </c>
      <c r="BY7" s="10">
        <v>99</v>
      </c>
      <c r="BZ7" s="10">
        <v>102</v>
      </c>
      <c r="CA7" s="10">
        <v>103</v>
      </c>
      <c r="CB7" s="10">
        <f t="shared" si="21"/>
        <v>101.33333333333333</v>
      </c>
      <c r="CC7" s="10">
        <f t="shared" si="22"/>
        <v>101.33333333333331</v>
      </c>
      <c r="CD7" s="1">
        <v>84.5</v>
      </c>
      <c r="CE7" s="1">
        <v>88.5</v>
      </c>
      <c r="CF7" s="10">
        <v>95</v>
      </c>
      <c r="CG7" s="1">
        <f t="shared" si="23"/>
        <v>89.333333333333329</v>
      </c>
      <c r="CH7" s="1">
        <f t="shared" si="24"/>
        <v>89.333333333333329</v>
      </c>
      <c r="CI7" s="10">
        <v>80</v>
      </c>
      <c r="CJ7" s="1">
        <v>84.5</v>
      </c>
      <c r="CK7" s="10">
        <v>88</v>
      </c>
      <c r="CL7" s="10">
        <f t="shared" si="25"/>
        <v>84.166666666666671</v>
      </c>
      <c r="CM7" s="10">
        <f t="shared" si="26"/>
        <v>84.166666666666671</v>
      </c>
      <c r="CN7" s="10">
        <v>81</v>
      </c>
      <c r="CO7" s="10">
        <v>87</v>
      </c>
      <c r="CP7" s="10">
        <v>88</v>
      </c>
      <c r="CQ7" s="1">
        <f t="shared" si="27"/>
        <v>85.333333333333329</v>
      </c>
      <c r="CR7" s="1">
        <f t="shared" si="28"/>
        <v>85.333333333333329</v>
      </c>
      <c r="CS7" s="10">
        <v>70</v>
      </c>
      <c r="CT7" s="10">
        <v>82</v>
      </c>
      <c r="CU7" s="10">
        <v>85</v>
      </c>
      <c r="CV7" s="10">
        <f t="shared" si="29"/>
        <v>79</v>
      </c>
      <c r="CW7" s="10">
        <f t="shared" si="30"/>
        <v>79</v>
      </c>
      <c r="CX7" s="10">
        <v>100</v>
      </c>
      <c r="CY7" s="1">
        <v>101.5</v>
      </c>
      <c r="CZ7" s="10">
        <v>101</v>
      </c>
      <c r="DA7" s="10">
        <f t="shared" si="31"/>
        <v>100.83333333333333</v>
      </c>
      <c r="DB7" s="10">
        <f t="shared" si="32"/>
        <v>100.83333333333333</v>
      </c>
      <c r="DC7" s="10">
        <v>77</v>
      </c>
      <c r="DD7" s="10">
        <v>78</v>
      </c>
      <c r="DE7" s="10">
        <v>79</v>
      </c>
      <c r="DF7" s="1">
        <f t="shared" si="33"/>
        <v>78</v>
      </c>
      <c r="DG7" s="1">
        <f t="shared" si="34"/>
        <v>78</v>
      </c>
      <c r="DH7" s="10">
        <v>94</v>
      </c>
      <c r="DI7" s="10">
        <v>96</v>
      </c>
      <c r="DJ7" s="1">
        <v>97.5</v>
      </c>
      <c r="DK7" s="10">
        <f t="shared" si="35"/>
        <v>95.833333333333329</v>
      </c>
      <c r="DL7" s="10">
        <f t="shared" si="36"/>
        <v>95.833333333333329</v>
      </c>
      <c r="DM7" s="1">
        <v>93.5</v>
      </c>
      <c r="DN7" s="1">
        <v>97.5</v>
      </c>
      <c r="DO7" s="1">
        <v>99.5</v>
      </c>
      <c r="DP7" s="6">
        <f t="shared" si="37"/>
        <v>96.833333333333329</v>
      </c>
      <c r="DQ7" s="10">
        <f t="shared" si="38"/>
        <v>96.833333333333329</v>
      </c>
      <c r="DR7" s="10">
        <v>100</v>
      </c>
      <c r="DS7" s="10">
        <v>104</v>
      </c>
      <c r="DT7" s="10">
        <v>103</v>
      </c>
      <c r="DU7" s="6">
        <f t="shared" si="39"/>
        <v>102.33333333333333</v>
      </c>
      <c r="DV7" s="1">
        <f t="shared" si="40"/>
        <v>102.33333333333331</v>
      </c>
      <c r="DW7" s="10">
        <v>84</v>
      </c>
      <c r="DX7" s="10">
        <v>91</v>
      </c>
      <c r="DY7" s="10">
        <v>91</v>
      </c>
      <c r="DZ7" s="6">
        <f t="shared" si="41"/>
        <v>88.666666666666671</v>
      </c>
      <c r="EA7" s="6">
        <f t="shared" si="42"/>
        <v>88.666666666666671</v>
      </c>
      <c r="EB7" s="10">
        <v>74</v>
      </c>
      <c r="EC7" s="10">
        <v>78</v>
      </c>
      <c r="ED7" s="10">
        <v>80</v>
      </c>
      <c r="EE7" s="6">
        <f t="shared" si="43"/>
        <v>77.333333333333329</v>
      </c>
      <c r="EF7" s="6">
        <f t="shared" si="44"/>
        <v>77.333333333333329</v>
      </c>
      <c r="EG7" s="10">
        <v>96</v>
      </c>
      <c r="EH7" s="10">
        <v>97</v>
      </c>
      <c r="EI7" s="10">
        <v>98</v>
      </c>
      <c r="EJ7" s="6">
        <f t="shared" si="45"/>
        <v>97</v>
      </c>
      <c r="EK7" s="6">
        <f t="shared" si="46"/>
        <v>97</v>
      </c>
      <c r="EL7" s="1">
        <v>62.5</v>
      </c>
      <c r="EM7" s="10">
        <v>66</v>
      </c>
      <c r="EN7" s="10">
        <v>67</v>
      </c>
      <c r="EO7" s="6">
        <f t="shared" si="47"/>
        <v>65.166666666666671</v>
      </c>
      <c r="EP7" s="6">
        <f t="shared" si="48"/>
        <v>65.166666666666671</v>
      </c>
      <c r="EQ7" s="1">
        <v>99.5</v>
      </c>
      <c r="ER7" s="1">
        <v>98.5</v>
      </c>
      <c r="ES7" s="1">
        <v>102.5</v>
      </c>
      <c r="ET7" s="6">
        <f t="shared" si="49"/>
        <v>100.16666666666667</v>
      </c>
      <c r="EU7" s="6">
        <f t="shared" si="50"/>
        <v>100.16666666666667</v>
      </c>
      <c r="EV7" s="10">
        <v>85</v>
      </c>
      <c r="EW7" s="10">
        <v>91</v>
      </c>
      <c r="EX7" s="10">
        <v>97</v>
      </c>
      <c r="EY7" s="6">
        <f t="shared" si="51"/>
        <v>91</v>
      </c>
      <c r="EZ7" s="6">
        <f t="shared" si="52"/>
        <v>91</v>
      </c>
      <c r="FA7" s="10">
        <v>84</v>
      </c>
      <c r="FB7" s="10">
        <v>84</v>
      </c>
      <c r="FC7" s="10">
        <v>86</v>
      </c>
      <c r="FD7" s="6">
        <f t="shared" si="53"/>
        <v>84.666666666666671</v>
      </c>
      <c r="FE7" s="6">
        <f t="shared" si="54"/>
        <v>84.666666666666671</v>
      </c>
      <c r="FF7" s="10">
        <v>83</v>
      </c>
      <c r="FG7" s="10">
        <v>84</v>
      </c>
      <c r="FH7" s="10">
        <v>88</v>
      </c>
      <c r="FI7" s="6">
        <f t="shared" si="55"/>
        <v>85</v>
      </c>
      <c r="FJ7" s="6">
        <f t="shared" si="56"/>
        <v>85</v>
      </c>
      <c r="FK7" s="10">
        <v>81</v>
      </c>
      <c r="FL7" s="1">
        <v>92.5</v>
      </c>
      <c r="FM7" s="10">
        <v>93</v>
      </c>
      <c r="FN7" s="6">
        <f t="shared" si="57"/>
        <v>88.833333333333329</v>
      </c>
      <c r="FO7" s="6">
        <f t="shared" si="58"/>
        <v>88.833333333333329</v>
      </c>
      <c r="FP7" s="1">
        <v>94.5</v>
      </c>
      <c r="FQ7" s="1">
        <v>96.5</v>
      </c>
      <c r="FR7" s="10">
        <v>99</v>
      </c>
      <c r="FS7" s="6">
        <f t="shared" si="59"/>
        <v>96.666666666666671</v>
      </c>
      <c r="FT7" s="6">
        <f t="shared" si="60"/>
        <v>96.666666666666671</v>
      </c>
      <c r="FU7" s="10">
        <v>70</v>
      </c>
      <c r="FV7" s="10">
        <v>81</v>
      </c>
      <c r="FW7" s="10">
        <v>88</v>
      </c>
      <c r="FX7" s="6">
        <f t="shared" si="61"/>
        <v>79.666666666666671</v>
      </c>
      <c r="FY7" s="6">
        <f t="shared" si="62"/>
        <v>79.666666666666671</v>
      </c>
      <c r="FZ7" s="10">
        <v>95</v>
      </c>
      <c r="GA7" s="10">
        <v>95</v>
      </c>
      <c r="GB7" s="1">
        <v>96.5</v>
      </c>
      <c r="GC7" s="6">
        <f t="shared" si="63"/>
        <v>95.5</v>
      </c>
      <c r="GD7" s="6">
        <f t="shared" si="64"/>
        <v>95.5</v>
      </c>
      <c r="GE7" s="10">
        <v>65</v>
      </c>
      <c r="GF7" s="10">
        <v>70</v>
      </c>
      <c r="GG7" s="10">
        <v>71</v>
      </c>
      <c r="GH7" s="6">
        <f t="shared" si="65"/>
        <v>68.666666666666671</v>
      </c>
      <c r="GI7" s="6">
        <f t="shared" si="66"/>
        <v>68.666666666666671</v>
      </c>
      <c r="GJ7" s="1">
        <v>85.5</v>
      </c>
      <c r="GK7" s="1">
        <v>90.5</v>
      </c>
      <c r="GL7" s="1">
        <v>91.5</v>
      </c>
      <c r="GM7" s="6">
        <f t="shared" si="67"/>
        <v>89.166666666666671</v>
      </c>
      <c r="GN7" s="6">
        <f t="shared" si="68"/>
        <v>89.166666666666671</v>
      </c>
      <c r="GO7" s="10">
        <v>77.400000000000006</v>
      </c>
      <c r="GP7" s="11" t="s">
        <v>208</v>
      </c>
      <c r="GQ7" s="6"/>
      <c r="GR7" s="12"/>
      <c r="GS7" s="12">
        <f t="shared" si="72"/>
        <v>83.062241648521095</v>
      </c>
      <c r="GT7" s="12"/>
      <c r="GU7" s="12">
        <f t="shared" si="73"/>
        <v>88.3125</v>
      </c>
      <c r="GV7" s="12">
        <f t="shared" si="69"/>
        <v>86.541666666666671</v>
      </c>
      <c r="GW7" s="12">
        <f t="shared" si="74"/>
        <v>1.7708333333333286</v>
      </c>
      <c r="GX7" s="12"/>
      <c r="GY7" s="12"/>
      <c r="GZ7" s="13">
        <f t="shared" si="75"/>
        <v>83.062241648521095</v>
      </c>
      <c r="HA7" s="6"/>
      <c r="HB7" s="10">
        <f t="shared" si="70"/>
        <v>0.2916666666666714</v>
      </c>
      <c r="HD7" s="10">
        <f t="shared" si="76"/>
        <v>88.0625</v>
      </c>
      <c r="HE7" s="10">
        <f t="shared" si="71"/>
        <v>87.770833333333329</v>
      </c>
      <c r="HG7" s="10"/>
      <c r="HH7" s="10"/>
    </row>
    <row r="8" spans="1:216" ht="15.75" customHeight="1">
      <c r="A8" s="1" t="s">
        <v>214</v>
      </c>
      <c r="B8" s="10">
        <v>18</v>
      </c>
      <c r="C8" s="1" t="s">
        <v>203</v>
      </c>
      <c r="D8" s="10">
        <v>84</v>
      </c>
      <c r="E8" s="10">
        <v>190</v>
      </c>
      <c r="F8" s="10">
        <v>105</v>
      </c>
      <c r="G8" s="1" t="s">
        <v>204</v>
      </c>
      <c r="H8" s="1" t="s">
        <v>205</v>
      </c>
      <c r="I8" s="1" t="s">
        <v>204</v>
      </c>
      <c r="J8" s="1" t="s">
        <v>204</v>
      </c>
      <c r="K8" s="10">
        <v>10</v>
      </c>
      <c r="L8" s="1" t="s">
        <v>206</v>
      </c>
      <c r="M8" s="1" t="s">
        <v>207</v>
      </c>
      <c r="N8" s="1">
        <v>73.7</v>
      </c>
      <c r="O8" s="10">
        <v>78</v>
      </c>
      <c r="P8" s="10">
        <v>77</v>
      </c>
      <c r="Q8" s="6">
        <f t="shared" si="0"/>
        <v>76.233333333333334</v>
      </c>
      <c r="R8" s="10">
        <v>76</v>
      </c>
      <c r="S8" s="1">
        <v>73.3</v>
      </c>
      <c r="T8" s="1">
        <v>78.099999999999994</v>
      </c>
      <c r="U8" s="6">
        <f t="shared" si="1"/>
        <v>75.8</v>
      </c>
      <c r="V8" s="1">
        <v>148.5</v>
      </c>
      <c r="W8" s="1">
        <v>150.1</v>
      </c>
      <c r="X8" s="1">
        <v>157.19999999999999</v>
      </c>
      <c r="Y8" s="6">
        <f t="shared" si="2"/>
        <v>151.93333333333334</v>
      </c>
      <c r="Z8" s="1">
        <v>156.19999999999999</v>
      </c>
      <c r="AA8" s="1">
        <v>161.4</v>
      </c>
      <c r="AB8" s="1">
        <v>151.9</v>
      </c>
      <c r="AC8" s="6">
        <f t="shared" si="3"/>
        <v>156.5</v>
      </c>
      <c r="AD8" s="10">
        <v>0</v>
      </c>
      <c r="AE8" s="10">
        <v>2</v>
      </c>
      <c r="AF8" s="10">
        <v>0</v>
      </c>
      <c r="AG8" s="10">
        <v>0</v>
      </c>
      <c r="AH8" s="10">
        <v>2</v>
      </c>
      <c r="AI8" s="10">
        <v>1</v>
      </c>
      <c r="AJ8" s="10">
        <f t="shared" si="4"/>
        <v>5</v>
      </c>
      <c r="AK8" s="10">
        <v>93</v>
      </c>
      <c r="AL8" s="10">
        <v>96</v>
      </c>
      <c r="AM8" s="10">
        <v>98</v>
      </c>
      <c r="AN8" s="10">
        <f t="shared" si="5"/>
        <v>95.666666666666671</v>
      </c>
      <c r="AO8" s="10">
        <f t="shared" si="6"/>
        <v>91.111111111111114</v>
      </c>
      <c r="AP8" s="10">
        <v>92</v>
      </c>
      <c r="AQ8" s="10">
        <v>97</v>
      </c>
      <c r="AR8" s="10">
        <v>97</v>
      </c>
      <c r="AS8" s="6">
        <f t="shared" si="7"/>
        <v>95.333333333333329</v>
      </c>
      <c r="AT8" s="6">
        <f t="shared" si="8"/>
        <v>90.793650793650798</v>
      </c>
      <c r="AU8" s="10">
        <v>75</v>
      </c>
      <c r="AV8" s="10">
        <v>84</v>
      </c>
      <c r="AW8" s="10">
        <v>90</v>
      </c>
      <c r="AX8" s="6">
        <f t="shared" si="9"/>
        <v>83</v>
      </c>
      <c r="AY8" s="6">
        <f t="shared" si="10"/>
        <v>79.047619047619051</v>
      </c>
      <c r="AZ8" s="10">
        <v>60</v>
      </c>
      <c r="BA8" s="1">
        <v>69.5</v>
      </c>
      <c r="BB8" s="1">
        <v>72.5</v>
      </c>
      <c r="BC8" s="6">
        <f t="shared" si="11"/>
        <v>67.333333333333329</v>
      </c>
      <c r="BD8" s="10">
        <f t="shared" si="12"/>
        <v>64.126984126984127</v>
      </c>
      <c r="BE8" s="10">
        <v>88</v>
      </c>
      <c r="BF8" s="1">
        <v>90.5</v>
      </c>
      <c r="BG8" s="1">
        <v>97.5</v>
      </c>
      <c r="BH8" s="10">
        <f t="shared" si="13"/>
        <v>67.333333333333329</v>
      </c>
      <c r="BI8" s="10">
        <f t="shared" si="14"/>
        <v>64.126984126984127</v>
      </c>
      <c r="BJ8" s="10">
        <v>62</v>
      </c>
      <c r="BK8" s="10">
        <v>77</v>
      </c>
      <c r="BL8" s="1">
        <v>78.5</v>
      </c>
      <c r="BM8" s="10">
        <f t="shared" si="15"/>
        <v>72.5</v>
      </c>
      <c r="BN8" s="10">
        <f t="shared" si="16"/>
        <v>69.047619047619051</v>
      </c>
      <c r="BO8" s="10">
        <v>91</v>
      </c>
      <c r="BP8" s="10">
        <v>100</v>
      </c>
      <c r="BQ8" s="1">
        <v>102.5</v>
      </c>
      <c r="BR8" s="1">
        <f t="shared" si="17"/>
        <v>97.833333333333329</v>
      </c>
      <c r="BS8" s="1">
        <f t="shared" si="18"/>
        <v>93.174603174603163</v>
      </c>
      <c r="BT8" s="10">
        <v>81</v>
      </c>
      <c r="BU8" s="10">
        <v>93</v>
      </c>
      <c r="BV8" s="10">
        <v>95</v>
      </c>
      <c r="BW8" s="10">
        <f t="shared" si="19"/>
        <v>89.666666666666671</v>
      </c>
      <c r="BX8" s="10">
        <f t="shared" si="20"/>
        <v>85.396825396825406</v>
      </c>
      <c r="BY8" s="10">
        <v>83</v>
      </c>
      <c r="BZ8" s="10">
        <v>84</v>
      </c>
      <c r="CA8" s="10">
        <v>87</v>
      </c>
      <c r="CB8" s="10">
        <f t="shared" si="21"/>
        <v>84.666666666666671</v>
      </c>
      <c r="CC8" s="10">
        <f t="shared" si="22"/>
        <v>80.634920634920633</v>
      </c>
      <c r="CD8" s="10">
        <v>81</v>
      </c>
      <c r="CE8" s="10">
        <v>86</v>
      </c>
      <c r="CF8" s="10">
        <v>75</v>
      </c>
      <c r="CG8" s="1">
        <f t="shared" si="23"/>
        <v>80.666666666666671</v>
      </c>
      <c r="CH8" s="1">
        <f t="shared" si="24"/>
        <v>76.825396825396837</v>
      </c>
      <c r="CI8" s="1">
        <v>85.5</v>
      </c>
      <c r="CJ8" s="10">
        <v>94</v>
      </c>
      <c r="CK8" s="10">
        <v>100</v>
      </c>
      <c r="CL8" s="10">
        <f t="shared" si="25"/>
        <v>93.166666666666671</v>
      </c>
      <c r="CM8" s="10">
        <f t="shared" si="26"/>
        <v>88.730158730158735</v>
      </c>
      <c r="CN8" s="10">
        <v>87</v>
      </c>
      <c r="CO8" s="10">
        <v>92</v>
      </c>
      <c r="CP8" s="10">
        <v>94</v>
      </c>
      <c r="CQ8" s="1">
        <f t="shared" si="27"/>
        <v>91</v>
      </c>
      <c r="CR8" s="1">
        <f t="shared" si="28"/>
        <v>86.666666666666671</v>
      </c>
      <c r="CS8" s="10">
        <v>68</v>
      </c>
      <c r="CT8" s="10">
        <v>74</v>
      </c>
      <c r="CU8" s="10">
        <v>79</v>
      </c>
      <c r="CV8" s="10">
        <f t="shared" si="29"/>
        <v>73.666666666666671</v>
      </c>
      <c r="CW8" s="10">
        <f t="shared" si="30"/>
        <v>70.158730158730165</v>
      </c>
      <c r="CX8" s="1">
        <v>87.5</v>
      </c>
      <c r="CY8" s="1">
        <v>91.5</v>
      </c>
      <c r="CZ8" s="1">
        <v>92.5</v>
      </c>
      <c r="DA8" s="10">
        <f t="shared" si="31"/>
        <v>90.5</v>
      </c>
      <c r="DB8" s="10">
        <f t="shared" si="32"/>
        <v>86.19047619047619</v>
      </c>
      <c r="DC8" s="10">
        <v>67</v>
      </c>
      <c r="DD8" s="10">
        <v>77</v>
      </c>
      <c r="DE8" s="10">
        <v>80</v>
      </c>
      <c r="DF8" s="1">
        <f t="shared" si="33"/>
        <v>74.666666666666671</v>
      </c>
      <c r="DG8" s="1">
        <f t="shared" si="34"/>
        <v>71.111111111111114</v>
      </c>
      <c r="DH8" s="10">
        <v>80</v>
      </c>
      <c r="DI8" s="10">
        <v>84</v>
      </c>
      <c r="DJ8" s="10">
        <v>85</v>
      </c>
      <c r="DK8" s="10">
        <f t="shared" si="35"/>
        <v>83</v>
      </c>
      <c r="DL8" s="10">
        <f t="shared" si="36"/>
        <v>79.047619047619051</v>
      </c>
      <c r="DM8" s="10">
        <v>91</v>
      </c>
      <c r="DN8" s="10">
        <v>94</v>
      </c>
      <c r="DO8" s="10">
        <v>95</v>
      </c>
      <c r="DP8" s="6">
        <f t="shared" si="37"/>
        <v>93.333333333333329</v>
      </c>
      <c r="DQ8" s="10">
        <f t="shared" si="38"/>
        <v>88.888888888888886</v>
      </c>
      <c r="DR8" s="10">
        <v>94</v>
      </c>
      <c r="DS8" s="10">
        <v>100</v>
      </c>
      <c r="DT8" s="10">
        <v>102</v>
      </c>
      <c r="DU8" s="6">
        <f t="shared" si="39"/>
        <v>98.666666666666671</v>
      </c>
      <c r="DV8" s="1">
        <f t="shared" si="40"/>
        <v>93.968253968253961</v>
      </c>
      <c r="DW8" s="10">
        <v>80</v>
      </c>
      <c r="DX8" s="10">
        <v>85</v>
      </c>
      <c r="DY8" s="1">
        <v>87.5</v>
      </c>
      <c r="DZ8" s="6">
        <f t="shared" si="41"/>
        <v>84.166666666666671</v>
      </c>
      <c r="EA8" s="6">
        <f t="shared" si="42"/>
        <v>80.158730158730165</v>
      </c>
      <c r="EB8" s="10">
        <v>71</v>
      </c>
      <c r="EC8" s="10">
        <v>72</v>
      </c>
      <c r="ED8" s="10">
        <v>74</v>
      </c>
      <c r="EE8" s="6">
        <f t="shared" si="43"/>
        <v>72.333333333333329</v>
      </c>
      <c r="EF8" s="6">
        <f t="shared" si="44"/>
        <v>68.888888888888886</v>
      </c>
      <c r="EG8" s="10">
        <v>87</v>
      </c>
      <c r="EH8" s="10">
        <v>89</v>
      </c>
      <c r="EI8" s="10">
        <v>90</v>
      </c>
      <c r="EJ8" s="6">
        <f t="shared" si="45"/>
        <v>88.666666666666671</v>
      </c>
      <c r="EK8" s="6">
        <f t="shared" si="46"/>
        <v>84.444444444444443</v>
      </c>
      <c r="EL8" s="10">
        <v>70</v>
      </c>
      <c r="EM8" s="10">
        <v>73</v>
      </c>
      <c r="EN8" s="10">
        <v>76</v>
      </c>
      <c r="EO8" s="6">
        <f t="shared" si="47"/>
        <v>73</v>
      </c>
      <c r="EP8" s="6">
        <f t="shared" si="48"/>
        <v>69.523809523809518</v>
      </c>
      <c r="EQ8" s="1">
        <v>96.5</v>
      </c>
      <c r="ER8" s="10">
        <v>100</v>
      </c>
      <c r="ES8" s="10">
        <v>100</v>
      </c>
      <c r="ET8" s="6">
        <f t="shared" si="49"/>
        <v>98.833333333333329</v>
      </c>
      <c r="EU8" s="6">
        <f t="shared" si="50"/>
        <v>94.126984126984127</v>
      </c>
      <c r="EV8" s="10">
        <v>92</v>
      </c>
      <c r="EW8" s="10">
        <v>89</v>
      </c>
      <c r="EX8" s="10">
        <v>79</v>
      </c>
      <c r="EY8" s="6">
        <f t="shared" si="51"/>
        <v>86.666666666666671</v>
      </c>
      <c r="EZ8" s="6">
        <f t="shared" si="52"/>
        <v>82.539682539682545</v>
      </c>
      <c r="FA8" s="10">
        <v>84</v>
      </c>
      <c r="FB8" s="10">
        <v>86</v>
      </c>
      <c r="FC8" s="10">
        <v>88</v>
      </c>
      <c r="FD8" s="6">
        <f t="shared" si="53"/>
        <v>86</v>
      </c>
      <c r="FE8" s="6">
        <f t="shared" si="54"/>
        <v>81.904761904761898</v>
      </c>
      <c r="FF8" s="10">
        <v>82</v>
      </c>
      <c r="FG8" s="10">
        <v>82</v>
      </c>
      <c r="FH8" s="1">
        <v>75.5</v>
      </c>
      <c r="FI8" s="6">
        <f t="shared" si="55"/>
        <v>79.833333333333329</v>
      </c>
      <c r="FJ8" s="6">
        <f t="shared" si="56"/>
        <v>76.031746031746025</v>
      </c>
      <c r="FK8" s="10">
        <v>85</v>
      </c>
      <c r="FL8" s="10">
        <v>103</v>
      </c>
      <c r="FM8" s="10">
        <v>106</v>
      </c>
      <c r="FN8" s="6">
        <f t="shared" si="57"/>
        <v>98</v>
      </c>
      <c r="FO8" s="6">
        <f t="shared" si="58"/>
        <v>93.333333333333329</v>
      </c>
      <c r="FP8" s="10">
        <v>91</v>
      </c>
      <c r="FQ8" s="1">
        <v>94.5</v>
      </c>
      <c r="FR8" s="1">
        <v>95.5</v>
      </c>
      <c r="FS8" s="6">
        <f t="shared" si="59"/>
        <v>93.666666666666671</v>
      </c>
      <c r="FT8" s="6">
        <f t="shared" si="60"/>
        <v>89.206349206349216</v>
      </c>
      <c r="FU8" s="1">
        <v>84.5</v>
      </c>
      <c r="FV8" s="10">
        <v>85</v>
      </c>
      <c r="FW8" s="10">
        <v>92</v>
      </c>
      <c r="FX8" s="6">
        <f t="shared" si="61"/>
        <v>87.166666666666671</v>
      </c>
      <c r="FY8" s="6">
        <f t="shared" si="62"/>
        <v>83.015873015873026</v>
      </c>
      <c r="FZ8" s="10">
        <v>92</v>
      </c>
      <c r="GA8" s="10">
        <v>93</v>
      </c>
      <c r="GB8" s="1">
        <v>94.5</v>
      </c>
      <c r="GC8" s="6">
        <f t="shared" si="63"/>
        <v>93.166666666666671</v>
      </c>
      <c r="GD8" s="6">
        <f t="shared" si="64"/>
        <v>88.730158730158735</v>
      </c>
      <c r="GE8" s="10">
        <v>64</v>
      </c>
      <c r="GF8" s="10">
        <v>72</v>
      </c>
      <c r="GG8" s="10">
        <v>77</v>
      </c>
      <c r="GH8" s="6">
        <f t="shared" si="65"/>
        <v>71</v>
      </c>
      <c r="GI8" s="6">
        <f t="shared" si="66"/>
        <v>67.61904761904762</v>
      </c>
      <c r="GJ8" s="10">
        <v>80</v>
      </c>
      <c r="GK8" s="10">
        <v>88</v>
      </c>
      <c r="GL8" s="10">
        <v>89</v>
      </c>
      <c r="GM8" s="6">
        <f t="shared" si="67"/>
        <v>85.666666666666671</v>
      </c>
      <c r="GN8" s="6">
        <f t="shared" si="68"/>
        <v>81.587301587301596</v>
      </c>
      <c r="GO8" s="10">
        <v>78</v>
      </c>
      <c r="GP8" s="11" t="s">
        <v>208</v>
      </c>
      <c r="GQ8" s="6"/>
      <c r="GR8" s="12"/>
      <c r="GS8" s="12">
        <f t="shared" si="72"/>
        <v>82.999863054892487</v>
      </c>
      <c r="GT8" s="12"/>
      <c r="GU8" s="12">
        <f t="shared" si="73"/>
        <v>79.761904761904759</v>
      </c>
      <c r="GV8" s="12">
        <f t="shared" si="69"/>
        <v>79.761904761904773</v>
      </c>
      <c r="GW8" s="12">
        <f t="shared" si="74"/>
        <v>1.4210854715202004E-14</v>
      </c>
      <c r="GX8" s="12"/>
      <c r="GY8" s="12"/>
      <c r="GZ8" s="13">
        <f t="shared" si="75"/>
        <v>82.999863054892487</v>
      </c>
      <c r="HA8" s="6"/>
      <c r="HB8" s="10">
        <f t="shared" si="70"/>
        <v>2.8769841269841265</v>
      </c>
      <c r="HD8" s="10">
        <f t="shared" si="76"/>
        <v>84.186507936507937</v>
      </c>
      <c r="HE8" s="10">
        <f t="shared" si="71"/>
        <v>81.30952380952381</v>
      </c>
      <c r="HG8" s="10"/>
      <c r="HH8" s="10"/>
    </row>
    <row r="9" spans="1:216" ht="15.75" customHeight="1">
      <c r="A9" s="1" t="s">
        <v>215</v>
      </c>
      <c r="B9" s="10">
        <v>24</v>
      </c>
      <c r="C9" s="1" t="s">
        <v>203</v>
      </c>
      <c r="D9" s="10">
        <v>78</v>
      </c>
      <c r="E9" s="10">
        <v>182</v>
      </c>
      <c r="F9" s="10">
        <v>105</v>
      </c>
      <c r="G9" s="1" t="s">
        <v>204</v>
      </c>
      <c r="H9" s="1" t="s">
        <v>205</v>
      </c>
      <c r="I9" s="1" t="s">
        <v>204</v>
      </c>
      <c r="J9" s="1" t="s">
        <v>204</v>
      </c>
      <c r="K9" s="10">
        <v>19</v>
      </c>
      <c r="L9" s="1" t="s">
        <v>206</v>
      </c>
      <c r="M9" s="1" t="s">
        <v>207</v>
      </c>
      <c r="N9" s="1">
        <v>77.2</v>
      </c>
      <c r="O9" s="1">
        <v>80.2</v>
      </c>
      <c r="P9" s="1">
        <v>73.900000000000006</v>
      </c>
      <c r="Q9" s="6">
        <f t="shared" si="0"/>
        <v>77.100000000000009</v>
      </c>
      <c r="R9" s="1">
        <v>72.3</v>
      </c>
      <c r="S9" s="1">
        <v>72.3</v>
      </c>
      <c r="T9" s="1">
        <v>73.8</v>
      </c>
      <c r="U9" s="6">
        <f t="shared" si="1"/>
        <v>72.8</v>
      </c>
      <c r="V9" s="1">
        <v>135.30000000000001</v>
      </c>
      <c r="W9" s="1">
        <v>135.6</v>
      </c>
      <c r="X9" s="1">
        <v>130.9</v>
      </c>
      <c r="Y9" s="6">
        <f t="shared" si="2"/>
        <v>133.93333333333331</v>
      </c>
      <c r="Z9" s="1">
        <v>139.80000000000001</v>
      </c>
      <c r="AA9" s="1">
        <v>137.80000000000001</v>
      </c>
      <c r="AB9" s="1">
        <v>135.1</v>
      </c>
      <c r="AC9" s="6">
        <f t="shared" si="3"/>
        <v>137.56666666666669</v>
      </c>
      <c r="AD9" s="10">
        <v>0</v>
      </c>
      <c r="AE9" s="10">
        <v>0</v>
      </c>
      <c r="AF9" s="10">
        <v>2</v>
      </c>
      <c r="AG9" s="10">
        <v>0</v>
      </c>
      <c r="AH9" s="10">
        <v>4</v>
      </c>
      <c r="AI9" s="10">
        <v>1</v>
      </c>
      <c r="AJ9" s="10">
        <f t="shared" si="4"/>
        <v>7</v>
      </c>
      <c r="AK9" s="10">
        <v>84</v>
      </c>
      <c r="AL9" s="1">
        <v>87.5</v>
      </c>
      <c r="AM9" s="10">
        <v>91</v>
      </c>
      <c r="AN9" s="10">
        <f t="shared" si="5"/>
        <v>87.5</v>
      </c>
      <c r="AO9" s="10">
        <f t="shared" si="6"/>
        <v>83.333333333333343</v>
      </c>
      <c r="AP9" s="10">
        <v>88</v>
      </c>
      <c r="AQ9" s="10">
        <v>94</v>
      </c>
      <c r="AR9" s="10">
        <v>95</v>
      </c>
      <c r="AS9" s="6">
        <f t="shared" si="7"/>
        <v>92.333333333333329</v>
      </c>
      <c r="AT9" s="6">
        <f t="shared" si="8"/>
        <v>87.936507936507937</v>
      </c>
      <c r="AU9" s="10">
        <v>73</v>
      </c>
      <c r="AV9" s="1">
        <v>74.5</v>
      </c>
      <c r="AW9" s="1">
        <v>79.5</v>
      </c>
      <c r="AX9" s="6">
        <f t="shared" si="9"/>
        <v>75.666666666666671</v>
      </c>
      <c r="AY9" s="6">
        <f t="shared" si="10"/>
        <v>72.063492063492063</v>
      </c>
      <c r="AZ9" s="10">
        <v>61</v>
      </c>
      <c r="BA9" s="10">
        <v>62</v>
      </c>
      <c r="BB9" s="1">
        <v>72.5</v>
      </c>
      <c r="BC9" s="6">
        <f t="shared" si="11"/>
        <v>65.166666666666671</v>
      </c>
      <c r="BD9" s="10">
        <f t="shared" si="12"/>
        <v>62.063492063492063</v>
      </c>
      <c r="BE9" s="10">
        <v>78</v>
      </c>
      <c r="BF9" s="1">
        <v>82.5</v>
      </c>
      <c r="BG9" s="10">
        <v>72</v>
      </c>
      <c r="BH9" s="10">
        <f t="shared" si="13"/>
        <v>65.166666666666671</v>
      </c>
      <c r="BI9" s="10">
        <f t="shared" si="14"/>
        <v>62.063492063492063</v>
      </c>
      <c r="BJ9" s="1">
        <v>58.5</v>
      </c>
      <c r="BK9" s="10">
        <v>62</v>
      </c>
      <c r="BL9" s="1">
        <v>63.5</v>
      </c>
      <c r="BM9" s="10">
        <f t="shared" si="15"/>
        <v>61.333333333333336</v>
      </c>
      <c r="BN9" s="10">
        <f t="shared" si="16"/>
        <v>58.412698412698418</v>
      </c>
      <c r="BO9" s="1">
        <v>82.5</v>
      </c>
      <c r="BP9" s="10">
        <v>92</v>
      </c>
      <c r="BQ9" s="10">
        <v>93</v>
      </c>
      <c r="BR9" s="1">
        <f t="shared" si="17"/>
        <v>89.166666666666671</v>
      </c>
      <c r="BS9" s="1">
        <f t="shared" si="18"/>
        <v>84.920634920634924</v>
      </c>
      <c r="BT9" s="10">
        <v>75</v>
      </c>
      <c r="BU9" s="10">
        <v>80</v>
      </c>
      <c r="BV9" s="1">
        <v>84.5</v>
      </c>
      <c r="BW9" s="10">
        <f t="shared" si="19"/>
        <v>79.833333333333329</v>
      </c>
      <c r="BX9" s="10">
        <f t="shared" si="20"/>
        <v>76.031746031746025</v>
      </c>
      <c r="BY9" s="10">
        <v>70</v>
      </c>
      <c r="BZ9" s="1">
        <v>78.5</v>
      </c>
      <c r="CA9" s="10">
        <v>80</v>
      </c>
      <c r="CB9" s="10">
        <f t="shared" si="21"/>
        <v>76.166666666666671</v>
      </c>
      <c r="CC9" s="10">
        <f t="shared" si="22"/>
        <v>72.539682539682545</v>
      </c>
      <c r="CD9" s="10">
        <v>74</v>
      </c>
      <c r="CE9" s="10">
        <v>76</v>
      </c>
      <c r="CF9" s="10">
        <v>76</v>
      </c>
      <c r="CG9" s="1">
        <f t="shared" si="23"/>
        <v>75.333333333333329</v>
      </c>
      <c r="CH9" s="1">
        <f t="shared" si="24"/>
        <v>71.746031746031747</v>
      </c>
      <c r="CI9" s="10">
        <v>72</v>
      </c>
      <c r="CJ9" s="10">
        <v>79</v>
      </c>
      <c r="CK9" s="1">
        <v>84.5</v>
      </c>
      <c r="CL9" s="10">
        <f t="shared" si="25"/>
        <v>78.5</v>
      </c>
      <c r="CM9" s="10">
        <f t="shared" si="26"/>
        <v>74.761904761904759</v>
      </c>
      <c r="CN9" s="10">
        <v>88</v>
      </c>
      <c r="CO9" s="10">
        <v>90</v>
      </c>
      <c r="CP9" s="1">
        <v>94.5</v>
      </c>
      <c r="CQ9" s="1">
        <f t="shared" si="27"/>
        <v>90.833333333333329</v>
      </c>
      <c r="CR9" s="1">
        <f t="shared" si="28"/>
        <v>86.507936507936506</v>
      </c>
      <c r="CS9" s="10">
        <v>63</v>
      </c>
      <c r="CT9" s="10">
        <v>68</v>
      </c>
      <c r="CU9" s="10">
        <v>76</v>
      </c>
      <c r="CV9" s="10">
        <f t="shared" si="29"/>
        <v>69</v>
      </c>
      <c r="CW9" s="10">
        <f t="shared" si="30"/>
        <v>65.714285714285708</v>
      </c>
      <c r="CX9" s="10">
        <v>86</v>
      </c>
      <c r="CY9" s="10">
        <v>90</v>
      </c>
      <c r="CZ9" s="10">
        <v>91</v>
      </c>
      <c r="DA9" s="10">
        <f t="shared" si="31"/>
        <v>89</v>
      </c>
      <c r="DB9" s="10">
        <f t="shared" si="32"/>
        <v>84.761904761904759</v>
      </c>
      <c r="DC9" s="10">
        <v>63</v>
      </c>
      <c r="DD9" s="1">
        <v>64.5</v>
      </c>
      <c r="DE9" s="10">
        <v>65</v>
      </c>
      <c r="DF9" s="1">
        <f t="shared" si="33"/>
        <v>64.166666666666671</v>
      </c>
      <c r="DG9" s="1">
        <f t="shared" si="34"/>
        <v>61.111111111111114</v>
      </c>
      <c r="DH9" s="10">
        <v>79</v>
      </c>
      <c r="DI9" s="1">
        <v>86.5</v>
      </c>
      <c r="DJ9" s="10">
        <v>90</v>
      </c>
      <c r="DK9" s="10">
        <f t="shared" si="35"/>
        <v>85.166666666666671</v>
      </c>
      <c r="DL9" s="10">
        <f t="shared" si="36"/>
        <v>81.111111111111114</v>
      </c>
      <c r="DM9" s="10">
        <v>92</v>
      </c>
      <c r="DN9" s="10">
        <v>95</v>
      </c>
      <c r="DO9" s="1">
        <v>96.5</v>
      </c>
      <c r="DP9" s="6">
        <f t="shared" si="37"/>
        <v>94.5</v>
      </c>
      <c r="DQ9" s="10">
        <f t="shared" si="38"/>
        <v>90</v>
      </c>
      <c r="DR9" s="10">
        <v>100</v>
      </c>
      <c r="DS9" s="10">
        <v>102</v>
      </c>
      <c r="DT9" s="10">
        <v>102</v>
      </c>
      <c r="DU9" s="6">
        <f t="shared" si="39"/>
        <v>101.33333333333333</v>
      </c>
      <c r="DV9" s="1">
        <f t="shared" si="40"/>
        <v>96.507936507936492</v>
      </c>
      <c r="DW9" s="10">
        <v>72</v>
      </c>
      <c r="DX9" s="1">
        <v>78.5</v>
      </c>
      <c r="DY9" s="10">
        <v>81</v>
      </c>
      <c r="DZ9" s="6">
        <f t="shared" si="41"/>
        <v>77.166666666666671</v>
      </c>
      <c r="EA9" s="6">
        <f t="shared" si="42"/>
        <v>73.492063492063494</v>
      </c>
      <c r="EB9" s="10">
        <v>66</v>
      </c>
      <c r="EC9" s="10">
        <v>71</v>
      </c>
      <c r="ED9" s="10">
        <v>74</v>
      </c>
      <c r="EE9" s="6">
        <f t="shared" si="43"/>
        <v>70.333333333333329</v>
      </c>
      <c r="EF9" s="6">
        <f t="shared" si="44"/>
        <v>66.984126984126974</v>
      </c>
      <c r="EG9" s="10">
        <v>77</v>
      </c>
      <c r="EH9" s="1">
        <v>83.5</v>
      </c>
      <c r="EI9" s="1">
        <v>83.5</v>
      </c>
      <c r="EJ9" s="6">
        <f t="shared" si="45"/>
        <v>81.333333333333329</v>
      </c>
      <c r="EK9" s="6">
        <f t="shared" si="46"/>
        <v>77.460317460317455</v>
      </c>
      <c r="EL9" s="10">
        <v>59</v>
      </c>
      <c r="EM9" s="10">
        <v>63</v>
      </c>
      <c r="EN9" s="10">
        <v>64</v>
      </c>
      <c r="EO9" s="6">
        <f t="shared" si="47"/>
        <v>62</v>
      </c>
      <c r="EP9" s="6">
        <f t="shared" si="48"/>
        <v>59.047619047619051</v>
      </c>
      <c r="EQ9" s="1">
        <v>84.5</v>
      </c>
      <c r="ER9" s="10">
        <v>93</v>
      </c>
      <c r="ES9" s="1">
        <v>95.5</v>
      </c>
      <c r="ET9" s="6">
        <f t="shared" si="49"/>
        <v>91</v>
      </c>
      <c r="EU9" s="6">
        <f t="shared" si="50"/>
        <v>86.666666666666671</v>
      </c>
      <c r="EV9" s="10">
        <v>77</v>
      </c>
      <c r="EW9" s="1">
        <v>83.5</v>
      </c>
      <c r="EX9" s="1">
        <v>80.5</v>
      </c>
      <c r="EY9" s="6">
        <f t="shared" si="51"/>
        <v>80.333333333333329</v>
      </c>
      <c r="EZ9" s="6">
        <f t="shared" si="52"/>
        <v>76.507936507936506</v>
      </c>
      <c r="FA9" s="10">
        <v>76</v>
      </c>
      <c r="FB9" s="10">
        <v>71</v>
      </c>
      <c r="FC9" s="10">
        <v>81</v>
      </c>
      <c r="FD9" s="6">
        <f t="shared" si="53"/>
        <v>76</v>
      </c>
      <c r="FE9" s="6">
        <f t="shared" si="54"/>
        <v>72.38095238095238</v>
      </c>
      <c r="FF9" s="1">
        <v>75.5</v>
      </c>
      <c r="FG9" s="1">
        <v>77.5</v>
      </c>
      <c r="FH9" s="10">
        <v>78</v>
      </c>
      <c r="FI9" s="6">
        <f t="shared" si="55"/>
        <v>77</v>
      </c>
      <c r="FJ9" s="6">
        <f t="shared" si="56"/>
        <v>73.333333333333329</v>
      </c>
      <c r="FK9" s="1">
        <v>79.5</v>
      </c>
      <c r="FL9" s="10">
        <v>82</v>
      </c>
      <c r="FM9" s="10">
        <v>91</v>
      </c>
      <c r="FN9" s="6">
        <f t="shared" si="57"/>
        <v>84.166666666666671</v>
      </c>
      <c r="FO9" s="6">
        <f t="shared" si="58"/>
        <v>80.158730158730165</v>
      </c>
      <c r="FP9" s="10">
        <v>85</v>
      </c>
      <c r="FQ9" s="1">
        <v>88.5</v>
      </c>
      <c r="FR9" s="10">
        <v>91</v>
      </c>
      <c r="FS9" s="6">
        <f t="shared" si="59"/>
        <v>88.166666666666671</v>
      </c>
      <c r="FT9" s="6">
        <f t="shared" si="60"/>
        <v>83.968253968253975</v>
      </c>
      <c r="FU9" s="10">
        <v>70</v>
      </c>
      <c r="FV9" s="10">
        <v>74</v>
      </c>
      <c r="FW9" s="10">
        <v>80</v>
      </c>
      <c r="FX9" s="6">
        <f t="shared" si="61"/>
        <v>74.666666666666671</v>
      </c>
      <c r="FY9" s="6">
        <f t="shared" si="62"/>
        <v>71.111111111111114</v>
      </c>
      <c r="FZ9" s="10">
        <v>81</v>
      </c>
      <c r="GA9" s="10">
        <v>85</v>
      </c>
      <c r="GB9" s="10">
        <v>86</v>
      </c>
      <c r="GC9" s="6">
        <f t="shared" si="63"/>
        <v>84</v>
      </c>
      <c r="GD9" s="6">
        <f t="shared" si="64"/>
        <v>80</v>
      </c>
      <c r="GE9" s="10">
        <v>69</v>
      </c>
      <c r="GF9" s="10">
        <v>74</v>
      </c>
      <c r="GG9" s="10">
        <v>65</v>
      </c>
      <c r="GH9" s="6">
        <f t="shared" si="65"/>
        <v>69.333333333333329</v>
      </c>
      <c r="GI9" s="6">
        <f t="shared" si="66"/>
        <v>66.031746031746025</v>
      </c>
      <c r="GJ9" s="10">
        <v>81</v>
      </c>
      <c r="GK9" s="10">
        <v>84</v>
      </c>
      <c r="GL9" s="10">
        <v>85</v>
      </c>
      <c r="GM9" s="6">
        <f t="shared" si="67"/>
        <v>83.333333333333329</v>
      </c>
      <c r="GN9" s="6">
        <f t="shared" si="68"/>
        <v>79.365079365079367</v>
      </c>
      <c r="GO9" s="10">
        <v>78</v>
      </c>
      <c r="GP9" s="11" t="s">
        <v>208</v>
      </c>
      <c r="GQ9" s="6"/>
      <c r="GR9" s="12"/>
      <c r="GS9" s="12">
        <f t="shared" si="72"/>
        <v>83.201678881708304</v>
      </c>
      <c r="GT9" s="12"/>
      <c r="GU9" s="12">
        <f t="shared" si="73"/>
        <v>72.063492063492063</v>
      </c>
      <c r="GV9" s="12">
        <f t="shared" si="69"/>
        <v>76.071428571428569</v>
      </c>
      <c r="GW9" s="12">
        <f t="shared" si="74"/>
        <v>4.0079365079365061</v>
      </c>
      <c r="GX9" s="12"/>
      <c r="GY9" s="12"/>
      <c r="GZ9" s="13">
        <f t="shared" si="75"/>
        <v>83.201678881708304</v>
      </c>
      <c r="HA9" s="6"/>
      <c r="HB9" s="10">
        <f t="shared" si="70"/>
        <v>0.19841269841271014</v>
      </c>
      <c r="HD9" s="10">
        <f t="shared" si="76"/>
        <v>77.162698412698418</v>
      </c>
      <c r="HE9" s="10">
        <f t="shared" si="71"/>
        <v>76.964285714285708</v>
      </c>
      <c r="HG9" s="10"/>
      <c r="HH9" s="10"/>
    </row>
    <row r="10" spans="1:216" ht="15.75" customHeight="1">
      <c r="A10" s="1" t="s">
        <v>216</v>
      </c>
      <c r="B10" s="10">
        <v>28</v>
      </c>
      <c r="C10" s="1" t="s">
        <v>203</v>
      </c>
      <c r="D10" s="10">
        <v>100</v>
      </c>
      <c r="E10" s="10">
        <v>195</v>
      </c>
      <c r="F10" s="10">
        <v>113</v>
      </c>
      <c r="G10" s="1" t="s">
        <v>204</v>
      </c>
      <c r="H10" s="1" t="s">
        <v>205</v>
      </c>
      <c r="I10" s="1" t="s">
        <v>204</v>
      </c>
      <c r="J10" s="1" t="s">
        <v>204</v>
      </c>
      <c r="K10" s="10">
        <v>15</v>
      </c>
      <c r="L10" s="1" t="s">
        <v>206</v>
      </c>
      <c r="M10" s="1" t="s">
        <v>207</v>
      </c>
      <c r="N10" s="1">
        <v>73.400000000000006</v>
      </c>
      <c r="O10" s="1">
        <v>75.8</v>
      </c>
      <c r="P10" s="1">
        <v>77.900000000000006</v>
      </c>
      <c r="Q10" s="6">
        <f t="shared" si="0"/>
        <v>75.7</v>
      </c>
      <c r="R10" s="1">
        <v>81.400000000000006</v>
      </c>
      <c r="S10" s="1">
        <v>71.2</v>
      </c>
      <c r="T10" s="1">
        <v>67.7</v>
      </c>
      <c r="U10" s="6">
        <f t="shared" si="1"/>
        <v>73.433333333333337</v>
      </c>
      <c r="V10" s="1">
        <v>128.69999999999999</v>
      </c>
      <c r="W10" s="1">
        <v>132.5</v>
      </c>
      <c r="X10" s="1">
        <v>131.69999999999999</v>
      </c>
      <c r="Y10" s="6">
        <f t="shared" si="2"/>
        <v>130.96666666666667</v>
      </c>
      <c r="Z10" s="1">
        <v>126.3</v>
      </c>
      <c r="AA10" s="1">
        <v>141.4</v>
      </c>
      <c r="AB10" s="1">
        <v>136.30000000000001</v>
      </c>
      <c r="AC10" s="6">
        <f t="shared" si="3"/>
        <v>134.66666666666666</v>
      </c>
      <c r="AD10" s="10">
        <v>0</v>
      </c>
      <c r="AE10" s="10">
        <v>3</v>
      </c>
      <c r="AF10" s="10">
        <v>0</v>
      </c>
      <c r="AG10" s="10">
        <v>0</v>
      </c>
      <c r="AH10" s="10">
        <v>2</v>
      </c>
      <c r="AI10" s="10">
        <v>0</v>
      </c>
      <c r="AJ10" s="10">
        <f t="shared" si="4"/>
        <v>5</v>
      </c>
      <c r="AK10" s="10">
        <v>99</v>
      </c>
      <c r="AL10" s="10">
        <v>100</v>
      </c>
      <c r="AM10" s="10">
        <v>101</v>
      </c>
      <c r="AN10" s="10">
        <f t="shared" si="5"/>
        <v>100</v>
      </c>
      <c r="AO10" s="10">
        <f t="shared" si="6"/>
        <v>88.495575221238937</v>
      </c>
      <c r="AP10" s="10">
        <v>101</v>
      </c>
      <c r="AQ10" s="1">
        <v>102.5</v>
      </c>
      <c r="AR10" s="10">
        <v>106</v>
      </c>
      <c r="AS10" s="6">
        <f t="shared" si="7"/>
        <v>103.16666666666667</v>
      </c>
      <c r="AT10" s="6">
        <f t="shared" si="8"/>
        <v>91.297935103244839</v>
      </c>
      <c r="AU10" s="10">
        <v>77</v>
      </c>
      <c r="AV10" s="1">
        <v>79.5</v>
      </c>
      <c r="AW10" s="1">
        <v>80.5</v>
      </c>
      <c r="AX10" s="6">
        <f t="shared" si="9"/>
        <v>79</v>
      </c>
      <c r="AY10" s="6">
        <f t="shared" si="10"/>
        <v>69.911504424778755</v>
      </c>
      <c r="AZ10" s="1">
        <v>74.5</v>
      </c>
      <c r="BA10" s="10">
        <v>77</v>
      </c>
      <c r="BB10" s="1">
        <v>78.5</v>
      </c>
      <c r="BC10" s="6">
        <f t="shared" si="11"/>
        <v>76.666666666666671</v>
      </c>
      <c r="BD10" s="10">
        <f t="shared" si="12"/>
        <v>67.846607669616517</v>
      </c>
      <c r="BE10" s="10">
        <v>78</v>
      </c>
      <c r="BF10" s="10">
        <v>82</v>
      </c>
      <c r="BG10" s="10">
        <v>84</v>
      </c>
      <c r="BH10" s="10">
        <f t="shared" si="13"/>
        <v>76.666666666666671</v>
      </c>
      <c r="BI10" s="10">
        <f t="shared" si="14"/>
        <v>67.846607669616517</v>
      </c>
      <c r="BJ10" s="10">
        <v>69</v>
      </c>
      <c r="BK10" s="10">
        <v>72</v>
      </c>
      <c r="BL10" s="10">
        <v>74</v>
      </c>
      <c r="BM10" s="10">
        <f t="shared" si="15"/>
        <v>71.666666666666671</v>
      </c>
      <c r="BN10" s="10">
        <f t="shared" si="16"/>
        <v>63.421828908554581</v>
      </c>
      <c r="BO10" s="10">
        <v>75</v>
      </c>
      <c r="BP10" s="10">
        <v>83</v>
      </c>
      <c r="BQ10" s="10">
        <v>85</v>
      </c>
      <c r="BR10" s="1">
        <f t="shared" si="17"/>
        <v>81</v>
      </c>
      <c r="BS10" s="1">
        <f t="shared" si="18"/>
        <v>71.681415929203538</v>
      </c>
      <c r="BT10" s="1">
        <v>83.5</v>
      </c>
      <c r="BU10" s="1">
        <v>89.5</v>
      </c>
      <c r="BV10" s="10">
        <v>91</v>
      </c>
      <c r="BW10" s="10">
        <f t="shared" si="19"/>
        <v>88</v>
      </c>
      <c r="BX10" s="10">
        <f t="shared" si="20"/>
        <v>77.876106194690266</v>
      </c>
      <c r="BY10" s="10">
        <v>68</v>
      </c>
      <c r="BZ10" s="10">
        <v>75</v>
      </c>
      <c r="CA10" s="10">
        <v>77</v>
      </c>
      <c r="CB10" s="10">
        <f t="shared" si="21"/>
        <v>73.333333333333329</v>
      </c>
      <c r="CC10" s="10">
        <f t="shared" si="22"/>
        <v>64.896755162241888</v>
      </c>
      <c r="CD10" s="10">
        <v>84</v>
      </c>
      <c r="CE10" s="1">
        <v>85.5</v>
      </c>
      <c r="CF10" s="10">
        <v>86</v>
      </c>
      <c r="CG10" s="1">
        <f t="shared" si="23"/>
        <v>85.166666666666671</v>
      </c>
      <c r="CH10" s="1">
        <f t="shared" si="24"/>
        <v>75.368731563421832</v>
      </c>
      <c r="CI10" s="10">
        <v>82</v>
      </c>
      <c r="CJ10" s="1">
        <v>83.5</v>
      </c>
      <c r="CK10" s="1">
        <v>91.5</v>
      </c>
      <c r="CL10" s="10">
        <f t="shared" si="25"/>
        <v>85.666666666666671</v>
      </c>
      <c r="CM10" s="10">
        <f t="shared" si="26"/>
        <v>75.811209439528028</v>
      </c>
      <c r="CN10" s="10">
        <v>89</v>
      </c>
      <c r="CO10" s="1">
        <v>91.5</v>
      </c>
      <c r="CP10" s="10">
        <v>93</v>
      </c>
      <c r="CQ10" s="1">
        <f t="shared" si="27"/>
        <v>91.166666666666671</v>
      </c>
      <c r="CR10" s="1">
        <f t="shared" si="28"/>
        <v>80.678466076696168</v>
      </c>
      <c r="CS10" s="10">
        <v>86</v>
      </c>
      <c r="CT10" s="10">
        <v>86</v>
      </c>
      <c r="CU10" s="1">
        <v>76.5</v>
      </c>
      <c r="CV10" s="10">
        <f t="shared" si="29"/>
        <v>82.833333333333329</v>
      </c>
      <c r="CW10" s="10">
        <f t="shared" si="30"/>
        <v>73.30383480825958</v>
      </c>
      <c r="CX10" s="1">
        <v>87.5</v>
      </c>
      <c r="CY10" s="10">
        <v>91</v>
      </c>
      <c r="CZ10" s="10">
        <v>94</v>
      </c>
      <c r="DA10" s="10">
        <f t="shared" si="31"/>
        <v>90.833333333333329</v>
      </c>
      <c r="DB10" s="10">
        <f t="shared" si="32"/>
        <v>80.383480825958699</v>
      </c>
      <c r="DC10" s="10">
        <v>79</v>
      </c>
      <c r="DD10" s="10">
        <v>84</v>
      </c>
      <c r="DE10" s="10">
        <v>85</v>
      </c>
      <c r="DF10" s="1">
        <f t="shared" si="33"/>
        <v>82.666666666666671</v>
      </c>
      <c r="DG10" s="1">
        <f t="shared" si="34"/>
        <v>73.156342182890853</v>
      </c>
      <c r="DH10" s="10">
        <v>88</v>
      </c>
      <c r="DI10" s="10">
        <v>90</v>
      </c>
      <c r="DJ10" s="10">
        <v>91</v>
      </c>
      <c r="DK10" s="10">
        <f t="shared" si="35"/>
        <v>89.666666666666671</v>
      </c>
      <c r="DL10" s="10">
        <f t="shared" si="36"/>
        <v>79.351032448377595</v>
      </c>
      <c r="DM10" s="10">
        <v>103</v>
      </c>
      <c r="DN10" s="10">
        <v>104</v>
      </c>
      <c r="DO10" s="10">
        <v>109</v>
      </c>
      <c r="DP10" s="6">
        <f t="shared" si="37"/>
        <v>105.33333333333333</v>
      </c>
      <c r="DQ10" s="10">
        <f t="shared" si="38"/>
        <v>93.215339233038335</v>
      </c>
      <c r="DR10" s="10">
        <v>100</v>
      </c>
      <c r="DS10" s="10">
        <v>106</v>
      </c>
      <c r="DT10" s="10">
        <v>106</v>
      </c>
      <c r="DU10" s="6">
        <f t="shared" si="39"/>
        <v>104</v>
      </c>
      <c r="DV10" s="1">
        <f t="shared" si="40"/>
        <v>92.035398230088489</v>
      </c>
      <c r="DW10" s="10">
        <v>81</v>
      </c>
      <c r="DX10" s="1">
        <v>82.5</v>
      </c>
      <c r="DY10" s="1">
        <v>83.5</v>
      </c>
      <c r="DZ10" s="6">
        <f t="shared" si="41"/>
        <v>82.333333333333329</v>
      </c>
      <c r="EA10" s="6">
        <f t="shared" si="42"/>
        <v>72.861356932153384</v>
      </c>
      <c r="EB10" s="1">
        <v>78.5</v>
      </c>
      <c r="EC10" s="1">
        <v>82.5</v>
      </c>
      <c r="ED10" s="1">
        <v>82.5</v>
      </c>
      <c r="EE10" s="6">
        <f t="shared" si="43"/>
        <v>81.166666666666671</v>
      </c>
      <c r="EF10" s="6">
        <f t="shared" si="44"/>
        <v>71.82890855457228</v>
      </c>
      <c r="EG10" s="10">
        <v>88</v>
      </c>
      <c r="EH10" s="10">
        <v>89</v>
      </c>
      <c r="EI10" s="10">
        <v>90</v>
      </c>
      <c r="EJ10" s="6">
        <f t="shared" si="45"/>
        <v>89</v>
      </c>
      <c r="EK10" s="6">
        <f t="shared" si="46"/>
        <v>78.761061946902657</v>
      </c>
      <c r="EL10" s="1">
        <v>71.5</v>
      </c>
      <c r="EM10" s="1">
        <v>71.5</v>
      </c>
      <c r="EN10" s="1">
        <v>83.5</v>
      </c>
      <c r="EO10" s="6">
        <f t="shared" si="47"/>
        <v>75.5</v>
      </c>
      <c r="EP10" s="6">
        <f t="shared" si="48"/>
        <v>66.814159292035399</v>
      </c>
      <c r="EQ10" s="10">
        <v>93</v>
      </c>
      <c r="ER10" s="10">
        <v>94</v>
      </c>
      <c r="ES10" s="10">
        <v>94</v>
      </c>
      <c r="ET10" s="6">
        <f t="shared" si="49"/>
        <v>93.666666666666671</v>
      </c>
      <c r="EU10" s="6">
        <f t="shared" si="50"/>
        <v>82.890855457227147</v>
      </c>
      <c r="EV10" s="10">
        <v>90</v>
      </c>
      <c r="EW10" s="10">
        <v>94</v>
      </c>
      <c r="EX10" s="10">
        <v>93</v>
      </c>
      <c r="EY10" s="6">
        <f t="shared" si="51"/>
        <v>92.333333333333329</v>
      </c>
      <c r="EZ10" s="6">
        <f t="shared" si="52"/>
        <v>81.710914454277287</v>
      </c>
      <c r="FA10" s="10">
        <v>68</v>
      </c>
      <c r="FB10" s="10">
        <v>75</v>
      </c>
      <c r="FC10" s="10">
        <v>77</v>
      </c>
      <c r="FD10" s="6">
        <f t="shared" si="53"/>
        <v>73.333333333333329</v>
      </c>
      <c r="FE10" s="6">
        <f t="shared" si="54"/>
        <v>64.896755162241888</v>
      </c>
      <c r="FF10" s="1">
        <v>81.5</v>
      </c>
      <c r="FG10" s="10">
        <v>82</v>
      </c>
      <c r="FH10" s="10">
        <v>85</v>
      </c>
      <c r="FI10" s="6">
        <f t="shared" si="55"/>
        <v>82.833333333333329</v>
      </c>
      <c r="FJ10" s="6">
        <f t="shared" si="56"/>
        <v>73.30383480825958</v>
      </c>
      <c r="FK10" s="10">
        <v>89</v>
      </c>
      <c r="FL10" s="10">
        <v>93</v>
      </c>
      <c r="FM10" s="10">
        <v>94</v>
      </c>
      <c r="FN10" s="6">
        <f t="shared" si="57"/>
        <v>92</v>
      </c>
      <c r="FO10" s="6">
        <f t="shared" si="58"/>
        <v>81.415929203539832</v>
      </c>
      <c r="FP10" s="10">
        <v>90</v>
      </c>
      <c r="FQ10" s="10">
        <v>92</v>
      </c>
      <c r="FR10" s="10">
        <v>95</v>
      </c>
      <c r="FS10" s="6">
        <f t="shared" si="59"/>
        <v>92.333333333333329</v>
      </c>
      <c r="FT10" s="6">
        <f t="shared" si="60"/>
        <v>81.710914454277287</v>
      </c>
      <c r="FU10" s="1">
        <v>84.5</v>
      </c>
      <c r="FV10" s="10">
        <v>87</v>
      </c>
      <c r="FW10" s="10">
        <v>88</v>
      </c>
      <c r="FX10" s="6">
        <f t="shared" si="61"/>
        <v>86.5</v>
      </c>
      <c r="FY10" s="6">
        <f t="shared" si="62"/>
        <v>76.548672566371678</v>
      </c>
      <c r="FZ10" s="1">
        <v>76.5</v>
      </c>
      <c r="GA10" s="10">
        <v>90</v>
      </c>
      <c r="GB10" s="10">
        <v>86</v>
      </c>
      <c r="GC10" s="6">
        <f t="shared" si="63"/>
        <v>84.166666666666671</v>
      </c>
      <c r="GD10" s="6">
        <f t="shared" si="64"/>
        <v>74.483775811209441</v>
      </c>
      <c r="GE10" s="1">
        <v>79.5</v>
      </c>
      <c r="GF10" s="1">
        <v>82.5</v>
      </c>
      <c r="GG10" s="10">
        <v>83</v>
      </c>
      <c r="GH10" s="6">
        <f t="shared" si="65"/>
        <v>81.666666666666671</v>
      </c>
      <c r="GI10" s="6">
        <f t="shared" si="66"/>
        <v>72.271386430678476</v>
      </c>
      <c r="GJ10" s="10">
        <v>88</v>
      </c>
      <c r="GK10" s="10">
        <v>90</v>
      </c>
      <c r="GL10" s="10">
        <v>92</v>
      </c>
      <c r="GM10" s="6">
        <f t="shared" si="67"/>
        <v>90</v>
      </c>
      <c r="GN10" s="6">
        <f t="shared" si="68"/>
        <v>79.646017699115049</v>
      </c>
      <c r="GO10" s="10">
        <v>78.099999999999994</v>
      </c>
      <c r="GP10" s="11" t="s">
        <v>208</v>
      </c>
      <c r="GQ10" s="6"/>
      <c r="GR10" s="12"/>
      <c r="GS10" s="12">
        <f t="shared" si="72"/>
        <v>84.049429104458511</v>
      </c>
      <c r="GT10" s="12"/>
      <c r="GU10" s="12">
        <f t="shared" si="73"/>
        <v>73.137905604719762</v>
      </c>
      <c r="GV10" s="12">
        <f t="shared" si="69"/>
        <v>77.028023598820056</v>
      </c>
      <c r="GW10" s="12">
        <f t="shared" si="74"/>
        <v>3.8901179941002937</v>
      </c>
      <c r="GX10" s="12"/>
      <c r="GY10" s="12"/>
      <c r="GZ10" s="13">
        <f t="shared" si="75"/>
        <v>84.049429104458511</v>
      </c>
      <c r="HA10" s="6"/>
      <c r="HB10" s="10">
        <f t="shared" si="70"/>
        <v>0.16592920353983232</v>
      </c>
      <c r="HD10" s="10">
        <f t="shared" si="76"/>
        <v>77.857669616519175</v>
      </c>
      <c r="HE10" s="10">
        <f t="shared" si="71"/>
        <v>77.691740412979343</v>
      </c>
      <c r="HG10" s="10"/>
      <c r="HH10" s="10"/>
    </row>
    <row r="11" spans="1:216" ht="15.75" customHeight="1">
      <c r="A11" s="1" t="s">
        <v>217</v>
      </c>
      <c r="B11" s="10">
        <v>24</v>
      </c>
      <c r="C11" s="1" t="s">
        <v>203</v>
      </c>
      <c r="D11" s="10">
        <v>87</v>
      </c>
      <c r="E11" s="10">
        <v>185</v>
      </c>
      <c r="F11" s="10">
        <v>107</v>
      </c>
      <c r="G11" s="1" t="s">
        <v>204</v>
      </c>
      <c r="H11" s="1" t="s">
        <v>205</v>
      </c>
      <c r="I11" s="1" t="s">
        <v>204</v>
      </c>
      <c r="J11" s="1" t="s">
        <v>204</v>
      </c>
      <c r="K11" s="10">
        <v>18</v>
      </c>
      <c r="L11" s="1" t="s">
        <v>206</v>
      </c>
      <c r="M11" s="1" t="s">
        <v>207</v>
      </c>
      <c r="N11" s="1">
        <v>77.7</v>
      </c>
      <c r="O11" s="1">
        <v>79.599999999999994</v>
      </c>
      <c r="P11" s="10">
        <v>82</v>
      </c>
      <c r="Q11" s="6">
        <f t="shared" si="0"/>
        <v>79.766666666666666</v>
      </c>
      <c r="R11" s="1">
        <v>77.5</v>
      </c>
      <c r="S11" s="1">
        <v>77.3</v>
      </c>
      <c r="T11" s="1">
        <v>83.5</v>
      </c>
      <c r="U11" s="6">
        <f t="shared" si="1"/>
        <v>79.433333333333337</v>
      </c>
      <c r="V11" s="1">
        <v>133.30000000000001</v>
      </c>
      <c r="W11" s="10">
        <v>137</v>
      </c>
      <c r="X11" s="1">
        <v>130.6</v>
      </c>
      <c r="Y11" s="6">
        <f t="shared" si="2"/>
        <v>133.63333333333333</v>
      </c>
      <c r="Z11" s="1">
        <v>144.6</v>
      </c>
      <c r="AA11" s="1">
        <v>142.69999999999999</v>
      </c>
      <c r="AB11" s="1">
        <v>141.5</v>
      </c>
      <c r="AC11" s="6">
        <f t="shared" si="3"/>
        <v>142.93333333333331</v>
      </c>
      <c r="AD11" s="10">
        <v>0</v>
      </c>
      <c r="AE11" s="10">
        <v>1</v>
      </c>
      <c r="AF11" s="10">
        <v>1</v>
      </c>
      <c r="AG11" s="10">
        <v>0</v>
      </c>
      <c r="AH11" s="10">
        <v>4</v>
      </c>
      <c r="AI11" s="10">
        <v>3</v>
      </c>
      <c r="AJ11" s="10">
        <f t="shared" si="4"/>
        <v>9</v>
      </c>
      <c r="AK11" s="1">
        <v>93.8</v>
      </c>
      <c r="AL11" s="10">
        <v>95</v>
      </c>
      <c r="AM11" s="10">
        <v>99</v>
      </c>
      <c r="AN11" s="10">
        <f t="shared" si="5"/>
        <v>95.933333333333337</v>
      </c>
      <c r="AO11" s="10">
        <f t="shared" si="6"/>
        <v>89.657320872274155</v>
      </c>
      <c r="AP11" s="10">
        <v>96</v>
      </c>
      <c r="AQ11" s="10">
        <v>98</v>
      </c>
      <c r="AR11" s="10">
        <v>100</v>
      </c>
      <c r="AS11" s="6">
        <f t="shared" si="7"/>
        <v>98</v>
      </c>
      <c r="AT11" s="6">
        <f t="shared" si="8"/>
        <v>91.588785046728972</v>
      </c>
      <c r="AU11" s="10">
        <v>80</v>
      </c>
      <c r="AV11" s="1">
        <v>81.599999999999994</v>
      </c>
      <c r="AW11" s="10">
        <v>84</v>
      </c>
      <c r="AX11" s="6">
        <f t="shared" si="9"/>
        <v>81.86666666666666</v>
      </c>
      <c r="AY11" s="6">
        <f t="shared" si="10"/>
        <v>76.510903426791259</v>
      </c>
      <c r="AZ11" s="1">
        <v>66.5</v>
      </c>
      <c r="BA11" s="10">
        <v>73</v>
      </c>
      <c r="BB11" s="10">
        <v>75</v>
      </c>
      <c r="BC11" s="6">
        <f t="shared" si="11"/>
        <v>71.5</v>
      </c>
      <c r="BD11" s="10">
        <f t="shared" si="12"/>
        <v>66.822429906542055</v>
      </c>
      <c r="BE11" s="1">
        <v>78.5</v>
      </c>
      <c r="BF11" s="10">
        <v>80</v>
      </c>
      <c r="BG11" s="10">
        <v>83</v>
      </c>
      <c r="BH11" s="10">
        <f t="shared" si="13"/>
        <v>71.5</v>
      </c>
      <c r="BI11" s="10">
        <f t="shared" si="14"/>
        <v>66.822429906542055</v>
      </c>
      <c r="BJ11" s="1">
        <v>68.5</v>
      </c>
      <c r="BK11" s="10">
        <v>69</v>
      </c>
      <c r="BL11" s="1">
        <v>72.5</v>
      </c>
      <c r="BM11" s="10">
        <f t="shared" si="15"/>
        <v>70</v>
      </c>
      <c r="BN11" s="10">
        <f t="shared" si="16"/>
        <v>65.420560747663544</v>
      </c>
      <c r="BO11" s="10">
        <v>96</v>
      </c>
      <c r="BP11" s="1">
        <v>90.5</v>
      </c>
      <c r="BQ11" s="1">
        <v>91.5</v>
      </c>
      <c r="BR11" s="1">
        <f t="shared" si="17"/>
        <v>92.666666666666671</v>
      </c>
      <c r="BS11" s="1">
        <f t="shared" si="18"/>
        <v>86.604361370716518</v>
      </c>
      <c r="BT11" s="10">
        <v>67</v>
      </c>
      <c r="BU11" s="10">
        <v>80</v>
      </c>
      <c r="BV11" s="10">
        <v>86</v>
      </c>
      <c r="BW11" s="10">
        <f t="shared" si="19"/>
        <v>77.666666666666671</v>
      </c>
      <c r="BX11" s="10">
        <f t="shared" si="20"/>
        <v>72.585669781931472</v>
      </c>
      <c r="BY11" s="10">
        <v>74</v>
      </c>
      <c r="BZ11" s="1">
        <v>77.5</v>
      </c>
      <c r="CA11" s="10">
        <v>82</v>
      </c>
      <c r="CB11" s="10">
        <f t="shared" si="21"/>
        <v>77.833333333333329</v>
      </c>
      <c r="CC11" s="10">
        <f t="shared" si="22"/>
        <v>72.741433021806841</v>
      </c>
      <c r="CD11" s="10">
        <v>80</v>
      </c>
      <c r="CE11" s="1">
        <v>83.5</v>
      </c>
      <c r="CF11" s="1">
        <v>83.5</v>
      </c>
      <c r="CG11" s="1">
        <f t="shared" si="23"/>
        <v>82.333333333333329</v>
      </c>
      <c r="CH11" s="1">
        <f t="shared" si="24"/>
        <v>76.947040498442362</v>
      </c>
      <c r="CI11" s="10">
        <v>81</v>
      </c>
      <c r="CJ11" s="10">
        <v>86</v>
      </c>
      <c r="CK11" s="10">
        <v>87</v>
      </c>
      <c r="CL11" s="10">
        <f t="shared" si="25"/>
        <v>84.666666666666671</v>
      </c>
      <c r="CM11" s="10">
        <f t="shared" si="26"/>
        <v>79.127725856697822</v>
      </c>
      <c r="CN11" s="10">
        <v>82</v>
      </c>
      <c r="CO11" s="10">
        <v>83</v>
      </c>
      <c r="CP11" s="10">
        <v>88</v>
      </c>
      <c r="CQ11" s="1">
        <f t="shared" si="27"/>
        <v>84.333333333333329</v>
      </c>
      <c r="CR11" s="1">
        <f t="shared" si="28"/>
        <v>78.81619937694704</v>
      </c>
      <c r="CS11" s="1">
        <v>59.5</v>
      </c>
      <c r="CT11" s="1">
        <v>62.5</v>
      </c>
      <c r="CU11" s="1">
        <v>65.5</v>
      </c>
      <c r="CV11" s="10">
        <f t="shared" si="29"/>
        <v>62.5</v>
      </c>
      <c r="CW11" s="10">
        <f t="shared" si="30"/>
        <v>58.411214953271028</v>
      </c>
      <c r="CX11" s="10">
        <v>82</v>
      </c>
      <c r="CY11" s="1">
        <v>84.5</v>
      </c>
      <c r="CZ11" s="1">
        <v>89.5</v>
      </c>
      <c r="DA11" s="10">
        <f t="shared" si="31"/>
        <v>85.333333333333329</v>
      </c>
      <c r="DB11" s="10">
        <f t="shared" si="32"/>
        <v>79.750778816199372</v>
      </c>
      <c r="DC11" s="10">
        <v>70</v>
      </c>
      <c r="DD11" s="10">
        <v>72</v>
      </c>
      <c r="DE11" s="10">
        <v>75</v>
      </c>
      <c r="DF11" s="1">
        <f t="shared" si="33"/>
        <v>72.333333333333329</v>
      </c>
      <c r="DG11" s="1">
        <f t="shared" si="34"/>
        <v>67.601246105919003</v>
      </c>
      <c r="DH11" s="1">
        <v>81.5</v>
      </c>
      <c r="DI11" s="1">
        <v>82.5</v>
      </c>
      <c r="DJ11" s="1">
        <v>84.5</v>
      </c>
      <c r="DK11" s="10">
        <f t="shared" si="35"/>
        <v>82.833333333333329</v>
      </c>
      <c r="DL11" s="10">
        <f t="shared" si="36"/>
        <v>77.414330218068528</v>
      </c>
      <c r="DM11" s="10">
        <v>95</v>
      </c>
      <c r="DN11" s="1">
        <v>96.5</v>
      </c>
      <c r="DO11" s="10">
        <v>96</v>
      </c>
      <c r="DP11" s="6">
        <f t="shared" si="37"/>
        <v>95.833333333333329</v>
      </c>
      <c r="DQ11" s="10">
        <f t="shared" si="38"/>
        <v>89.563862928348897</v>
      </c>
      <c r="DR11" s="1">
        <v>105.5</v>
      </c>
      <c r="DS11" s="10">
        <v>107</v>
      </c>
      <c r="DT11" s="1">
        <v>107.5</v>
      </c>
      <c r="DU11" s="6">
        <f t="shared" si="39"/>
        <v>106.66666666666667</v>
      </c>
      <c r="DV11" s="1">
        <f t="shared" si="40"/>
        <v>99.688473520249218</v>
      </c>
      <c r="DW11" s="1">
        <v>78.5</v>
      </c>
      <c r="DX11" s="10">
        <v>80</v>
      </c>
      <c r="DY11" s="10">
        <v>81</v>
      </c>
      <c r="DZ11" s="6">
        <f t="shared" si="41"/>
        <v>79.833333333333329</v>
      </c>
      <c r="EA11" s="6">
        <f t="shared" si="42"/>
        <v>74.610591900311519</v>
      </c>
      <c r="EB11" s="10">
        <v>81</v>
      </c>
      <c r="EC11" s="1">
        <v>76.5</v>
      </c>
      <c r="ED11" s="1">
        <v>77.5</v>
      </c>
      <c r="EE11" s="6">
        <f t="shared" si="43"/>
        <v>78.333333333333329</v>
      </c>
      <c r="EF11" s="6">
        <f t="shared" si="44"/>
        <v>73.208722741433021</v>
      </c>
      <c r="EG11" s="10">
        <v>77</v>
      </c>
      <c r="EH11" s="10">
        <v>82</v>
      </c>
      <c r="EI11" s="10">
        <v>84</v>
      </c>
      <c r="EJ11" s="6">
        <f t="shared" si="45"/>
        <v>81</v>
      </c>
      <c r="EK11" s="6">
        <f t="shared" si="46"/>
        <v>75.700934579439249</v>
      </c>
      <c r="EL11" s="1">
        <v>71.5</v>
      </c>
      <c r="EM11" s="10">
        <v>73</v>
      </c>
      <c r="EN11" s="10">
        <v>74</v>
      </c>
      <c r="EO11" s="6">
        <f t="shared" si="47"/>
        <v>72.833333333333329</v>
      </c>
      <c r="EP11" s="6">
        <f t="shared" si="48"/>
        <v>68.068535825545169</v>
      </c>
      <c r="EQ11" s="10">
        <v>87</v>
      </c>
      <c r="ER11" s="10">
        <v>94</v>
      </c>
      <c r="ES11" s="10">
        <v>96</v>
      </c>
      <c r="ET11" s="6">
        <f t="shared" si="49"/>
        <v>92.333333333333329</v>
      </c>
      <c r="EU11" s="6">
        <f t="shared" si="50"/>
        <v>86.292834890965736</v>
      </c>
      <c r="EV11" s="10">
        <v>81</v>
      </c>
      <c r="EW11" s="10">
        <v>85</v>
      </c>
      <c r="EX11" s="10">
        <v>85</v>
      </c>
      <c r="EY11" s="6">
        <f t="shared" si="51"/>
        <v>83.666666666666671</v>
      </c>
      <c r="EZ11" s="6">
        <f t="shared" si="52"/>
        <v>78.19314641744549</v>
      </c>
      <c r="FA11" s="10">
        <v>74</v>
      </c>
      <c r="FB11" s="10">
        <v>77</v>
      </c>
      <c r="FC11" s="10">
        <v>79</v>
      </c>
      <c r="FD11" s="6">
        <f t="shared" si="53"/>
        <v>76.666666666666671</v>
      </c>
      <c r="FE11" s="6">
        <f t="shared" si="54"/>
        <v>71.65109034267914</v>
      </c>
      <c r="FF11" s="1">
        <v>81.5</v>
      </c>
      <c r="FG11" s="10">
        <v>83</v>
      </c>
      <c r="FH11" s="10">
        <v>86</v>
      </c>
      <c r="FI11" s="6">
        <f t="shared" si="55"/>
        <v>83.5</v>
      </c>
      <c r="FJ11" s="6">
        <f t="shared" si="56"/>
        <v>78.037383177570092</v>
      </c>
      <c r="FK11" s="10">
        <v>75</v>
      </c>
      <c r="FL11" s="1">
        <v>75.5</v>
      </c>
      <c r="FM11" s="10">
        <v>81</v>
      </c>
      <c r="FN11" s="6">
        <f t="shared" si="57"/>
        <v>77.166666666666671</v>
      </c>
      <c r="FO11" s="6">
        <f t="shared" si="58"/>
        <v>72.118380062305292</v>
      </c>
      <c r="FP11" s="1">
        <v>91.5</v>
      </c>
      <c r="FQ11" s="1">
        <v>92.5</v>
      </c>
      <c r="FR11" s="1">
        <v>98.5</v>
      </c>
      <c r="FS11" s="6">
        <f t="shared" si="59"/>
        <v>94.166666666666671</v>
      </c>
      <c r="FT11" s="6">
        <f t="shared" si="60"/>
        <v>88.006230529595015</v>
      </c>
      <c r="FU11" s="10">
        <v>71</v>
      </c>
      <c r="FV11" s="10">
        <v>73</v>
      </c>
      <c r="FW11" s="10">
        <v>79</v>
      </c>
      <c r="FX11" s="6">
        <f t="shared" si="61"/>
        <v>74.333333333333329</v>
      </c>
      <c r="FY11" s="6">
        <f t="shared" si="62"/>
        <v>69.470404984423666</v>
      </c>
      <c r="FZ11" s="10">
        <v>88</v>
      </c>
      <c r="GA11" s="10">
        <v>90</v>
      </c>
      <c r="GB11" s="10">
        <v>93</v>
      </c>
      <c r="GC11" s="6">
        <f t="shared" si="63"/>
        <v>90.333333333333329</v>
      </c>
      <c r="GD11" s="6">
        <f t="shared" si="64"/>
        <v>84.423676012461058</v>
      </c>
      <c r="GE11" s="1">
        <v>77.5</v>
      </c>
      <c r="GF11" s="1">
        <v>81.5</v>
      </c>
      <c r="GG11" s="1">
        <v>84.5</v>
      </c>
      <c r="GH11" s="6">
        <f t="shared" si="65"/>
        <v>81.166666666666671</v>
      </c>
      <c r="GI11" s="6">
        <f t="shared" si="66"/>
        <v>75.856697819314647</v>
      </c>
      <c r="GJ11" s="1">
        <v>86.5</v>
      </c>
      <c r="GK11" s="10">
        <v>86</v>
      </c>
      <c r="GL11" s="1">
        <v>89.5</v>
      </c>
      <c r="GM11" s="6">
        <f t="shared" si="67"/>
        <v>87.333333333333329</v>
      </c>
      <c r="GN11" s="6">
        <f t="shared" si="68"/>
        <v>81.619937694704049</v>
      </c>
      <c r="GO11" s="10">
        <v>78.599999999999994</v>
      </c>
      <c r="GP11" s="11" t="s">
        <v>208</v>
      </c>
      <c r="GQ11" s="6"/>
      <c r="GR11" s="12"/>
      <c r="GS11" s="12">
        <f t="shared" si="72"/>
        <v>84.536510019833912</v>
      </c>
      <c r="GT11" s="12"/>
      <c r="GU11" s="12">
        <f t="shared" si="73"/>
        <v>74.684579439252332</v>
      </c>
      <c r="GV11" s="12">
        <f t="shared" si="69"/>
        <v>76.168224299065429</v>
      </c>
      <c r="GW11" s="12">
        <f t="shared" si="74"/>
        <v>1.4836448598130971</v>
      </c>
      <c r="GX11" s="12"/>
      <c r="GY11" s="12"/>
      <c r="GZ11" s="13">
        <f t="shared" si="75"/>
        <v>84.536510019833912</v>
      </c>
      <c r="HA11" s="6"/>
      <c r="HB11" s="10">
        <f t="shared" si="70"/>
        <v>4.497663551401871</v>
      </c>
      <c r="HD11" s="10">
        <f t="shared" si="76"/>
        <v>76.908099688473513</v>
      </c>
      <c r="HE11" s="10">
        <f t="shared" si="71"/>
        <v>81.405763239875384</v>
      </c>
      <c r="HG11" s="10"/>
      <c r="HH11" s="10"/>
    </row>
    <row r="12" spans="1:216" ht="15.75" customHeight="1">
      <c r="A12" s="1" t="s">
        <v>218</v>
      </c>
      <c r="B12" s="10">
        <v>18</v>
      </c>
      <c r="C12" s="1" t="s">
        <v>203</v>
      </c>
      <c r="D12" s="10">
        <v>65</v>
      </c>
      <c r="E12" s="10">
        <v>165</v>
      </c>
      <c r="F12" s="1">
        <v>95.5</v>
      </c>
      <c r="G12" s="1" t="s">
        <v>204</v>
      </c>
      <c r="H12" s="1" t="s">
        <v>205</v>
      </c>
      <c r="I12" s="1" t="s">
        <v>204</v>
      </c>
      <c r="J12" s="1" t="s">
        <v>204</v>
      </c>
      <c r="K12" s="10">
        <v>8</v>
      </c>
      <c r="L12" s="1" t="s">
        <v>206</v>
      </c>
      <c r="M12" s="1" t="s">
        <v>207</v>
      </c>
      <c r="N12" s="1">
        <v>79.599999999999994</v>
      </c>
      <c r="O12" s="1">
        <v>79.599999999999994</v>
      </c>
      <c r="P12" s="1">
        <v>80.099999999999994</v>
      </c>
      <c r="Q12" s="6">
        <f t="shared" si="0"/>
        <v>79.766666666666666</v>
      </c>
      <c r="R12" s="1">
        <v>74.599999999999994</v>
      </c>
      <c r="S12" s="1">
        <v>73.8</v>
      </c>
      <c r="T12" s="1">
        <v>78.099999999999994</v>
      </c>
      <c r="U12" s="6">
        <f t="shared" si="1"/>
        <v>75.499999999999986</v>
      </c>
      <c r="V12" s="1">
        <v>132.69999999999999</v>
      </c>
      <c r="W12" s="1">
        <v>127.5</v>
      </c>
      <c r="X12" s="1">
        <v>139.19999999999999</v>
      </c>
      <c r="Y12" s="6">
        <f t="shared" si="2"/>
        <v>133.13333333333333</v>
      </c>
      <c r="Z12" s="10">
        <v>139</v>
      </c>
      <c r="AA12" s="1">
        <v>156.5</v>
      </c>
      <c r="AB12" s="1">
        <v>132.4</v>
      </c>
      <c r="AC12" s="6">
        <f t="shared" si="3"/>
        <v>142.63333333333333</v>
      </c>
      <c r="AD12" s="10">
        <v>0</v>
      </c>
      <c r="AE12" s="10">
        <v>2</v>
      </c>
      <c r="AF12" s="10">
        <v>1</v>
      </c>
      <c r="AG12" s="10">
        <v>0</v>
      </c>
      <c r="AH12" s="10">
        <v>2</v>
      </c>
      <c r="AI12" s="10">
        <v>1</v>
      </c>
      <c r="AJ12" s="10">
        <f t="shared" si="4"/>
        <v>6</v>
      </c>
      <c r="AK12" s="1">
        <v>89.5</v>
      </c>
      <c r="AL12" s="10">
        <v>91</v>
      </c>
      <c r="AM12" s="10">
        <v>93</v>
      </c>
      <c r="AN12" s="10">
        <f t="shared" si="5"/>
        <v>91.166666666666671</v>
      </c>
      <c r="AO12" s="10">
        <f t="shared" si="6"/>
        <v>95.462478184991284</v>
      </c>
      <c r="AP12" s="10">
        <v>92</v>
      </c>
      <c r="AQ12" s="1">
        <v>93.5</v>
      </c>
      <c r="AR12" s="10">
        <v>95</v>
      </c>
      <c r="AS12" s="6">
        <f t="shared" si="7"/>
        <v>93.5</v>
      </c>
      <c r="AT12" s="6">
        <f t="shared" si="8"/>
        <v>97.905759162303667</v>
      </c>
      <c r="AU12" s="10">
        <v>73</v>
      </c>
      <c r="AV12" s="10">
        <v>74</v>
      </c>
      <c r="AW12" s="1">
        <v>78.5</v>
      </c>
      <c r="AX12" s="6">
        <f t="shared" si="9"/>
        <v>75.166666666666671</v>
      </c>
      <c r="AY12" s="6">
        <f t="shared" si="10"/>
        <v>78.708551483420592</v>
      </c>
      <c r="AZ12" s="10">
        <v>70</v>
      </c>
      <c r="BA12" s="10">
        <v>72</v>
      </c>
      <c r="BB12" s="10">
        <v>76</v>
      </c>
      <c r="BC12" s="6">
        <f t="shared" si="11"/>
        <v>72.666666666666671</v>
      </c>
      <c r="BD12" s="10">
        <f t="shared" si="12"/>
        <v>76.090750436300183</v>
      </c>
      <c r="BE12" s="10">
        <v>71</v>
      </c>
      <c r="BF12" s="10">
        <v>73</v>
      </c>
      <c r="BG12" s="10">
        <v>74</v>
      </c>
      <c r="BH12" s="10">
        <f t="shared" si="13"/>
        <v>72.666666666666671</v>
      </c>
      <c r="BI12" s="10">
        <f t="shared" si="14"/>
        <v>76.090750436300183</v>
      </c>
      <c r="BJ12" s="10">
        <v>63</v>
      </c>
      <c r="BK12" s="10">
        <v>63</v>
      </c>
      <c r="BL12" s="1">
        <v>67.5</v>
      </c>
      <c r="BM12" s="10">
        <f t="shared" si="15"/>
        <v>64.5</v>
      </c>
      <c r="BN12" s="10">
        <f t="shared" si="16"/>
        <v>67.539267015706798</v>
      </c>
      <c r="BO12" s="10">
        <v>80</v>
      </c>
      <c r="BP12" s="10">
        <v>81</v>
      </c>
      <c r="BQ12" s="10">
        <v>90</v>
      </c>
      <c r="BR12" s="1">
        <f t="shared" si="17"/>
        <v>83.666666666666671</v>
      </c>
      <c r="BS12" s="1">
        <f t="shared" si="18"/>
        <v>87.609075043630028</v>
      </c>
      <c r="BT12" s="10">
        <v>76</v>
      </c>
      <c r="BU12" s="10">
        <v>84</v>
      </c>
      <c r="BV12" s="10">
        <v>89</v>
      </c>
      <c r="BW12" s="10">
        <f t="shared" si="19"/>
        <v>83</v>
      </c>
      <c r="BX12" s="10">
        <f t="shared" si="20"/>
        <v>86.910994764397913</v>
      </c>
      <c r="BY12" s="10">
        <v>72</v>
      </c>
      <c r="BZ12" s="10">
        <v>72</v>
      </c>
      <c r="CA12" s="10">
        <v>74</v>
      </c>
      <c r="CB12" s="10">
        <f t="shared" si="21"/>
        <v>72.666666666666671</v>
      </c>
      <c r="CC12" s="10">
        <f t="shared" si="22"/>
        <v>76.090750436300183</v>
      </c>
      <c r="CD12" s="1">
        <v>78.5</v>
      </c>
      <c r="CE12" s="1">
        <v>81.5</v>
      </c>
      <c r="CF12" s="10">
        <v>87</v>
      </c>
      <c r="CG12" s="1">
        <f t="shared" si="23"/>
        <v>82.333333333333329</v>
      </c>
      <c r="CH12" s="1">
        <f t="shared" si="24"/>
        <v>86.212914485165797</v>
      </c>
      <c r="CI12" s="10">
        <v>77</v>
      </c>
      <c r="CJ12" s="10">
        <v>81</v>
      </c>
      <c r="CK12" s="10">
        <v>84</v>
      </c>
      <c r="CL12" s="10">
        <f t="shared" si="25"/>
        <v>80.666666666666671</v>
      </c>
      <c r="CM12" s="10">
        <f t="shared" si="26"/>
        <v>84.467713787085515</v>
      </c>
      <c r="CN12" s="10">
        <v>89</v>
      </c>
      <c r="CO12" s="10">
        <v>90</v>
      </c>
      <c r="CP12" s="1">
        <v>92.5</v>
      </c>
      <c r="CQ12" s="1">
        <f t="shared" si="27"/>
        <v>90.5</v>
      </c>
      <c r="CR12" s="1">
        <f t="shared" si="28"/>
        <v>94.764397905759154</v>
      </c>
      <c r="CS12" s="10">
        <v>74</v>
      </c>
      <c r="CT12" s="10">
        <v>77</v>
      </c>
      <c r="CU12" s="10">
        <v>79</v>
      </c>
      <c r="CV12" s="10">
        <f t="shared" si="29"/>
        <v>76.666666666666671</v>
      </c>
      <c r="CW12" s="10">
        <f t="shared" si="30"/>
        <v>80.279232111692849</v>
      </c>
      <c r="CX12" s="1">
        <v>83.5</v>
      </c>
      <c r="CY12" s="10">
        <v>91</v>
      </c>
      <c r="CZ12" s="10">
        <v>92</v>
      </c>
      <c r="DA12" s="10">
        <f t="shared" si="31"/>
        <v>88.833333333333329</v>
      </c>
      <c r="DB12" s="10">
        <f t="shared" si="32"/>
        <v>93.019197207678886</v>
      </c>
      <c r="DC12" s="10">
        <v>71</v>
      </c>
      <c r="DD12" s="10">
        <v>74</v>
      </c>
      <c r="DE12" s="10">
        <v>73</v>
      </c>
      <c r="DF12" s="1">
        <f t="shared" si="33"/>
        <v>72.666666666666671</v>
      </c>
      <c r="DG12" s="1">
        <f t="shared" si="34"/>
        <v>76.090750436300183</v>
      </c>
      <c r="DH12" s="10">
        <v>80</v>
      </c>
      <c r="DI12" s="10">
        <v>81</v>
      </c>
      <c r="DJ12" s="10">
        <v>86</v>
      </c>
      <c r="DK12" s="10">
        <f t="shared" si="35"/>
        <v>82.333333333333329</v>
      </c>
      <c r="DL12" s="10">
        <f t="shared" si="36"/>
        <v>86.212914485165797</v>
      </c>
      <c r="DM12" s="10">
        <v>98</v>
      </c>
      <c r="DN12" s="10">
        <v>100</v>
      </c>
      <c r="DO12" s="10">
        <v>104</v>
      </c>
      <c r="DP12" s="6">
        <f t="shared" si="37"/>
        <v>100.66666666666667</v>
      </c>
      <c r="DQ12" s="10">
        <f t="shared" si="38"/>
        <v>105.41012216404889</v>
      </c>
      <c r="DR12" s="10">
        <v>94</v>
      </c>
      <c r="DS12" s="10">
        <v>96</v>
      </c>
      <c r="DT12" s="10">
        <v>98</v>
      </c>
      <c r="DU12" s="6">
        <f t="shared" si="39"/>
        <v>96</v>
      </c>
      <c r="DV12" s="1">
        <f t="shared" si="40"/>
        <v>100.52356020942408</v>
      </c>
      <c r="DW12" s="10">
        <v>81</v>
      </c>
      <c r="DX12" s="10">
        <v>84</v>
      </c>
      <c r="DY12" s="10">
        <v>85</v>
      </c>
      <c r="DZ12" s="6">
        <f t="shared" si="41"/>
        <v>83.333333333333329</v>
      </c>
      <c r="EA12" s="6">
        <f t="shared" si="42"/>
        <v>87.260034904013963</v>
      </c>
      <c r="EB12" s="10">
        <v>73</v>
      </c>
      <c r="EC12" s="10">
        <v>76</v>
      </c>
      <c r="ED12" s="10">
        <v>78</v>
      </c>
      <c r="EE12" s="6">
        <f t="shared" si="43"/>
        <v>75.666666666666671</v>
      </c>
      <c r="EF12" s="6">
        <f t="shared" si="44"/>
        <v>79.232111692844683</v>
      </c>
      <c r="EG12" s="10">
        <v>73</v>
      </c>
      <c r="EH12" s="10">
        <v>80</v>
      </c>
      <c r="EI12" s="10">
        <v>81</v>
      </c>
      <c r="EJ12" s="6">
        <f t="shared" si="45"/>
        <v>78</v>
      </c>
      <c r="EK12" s="6">
        <f t="shared" si="46"/>
        <v>81.675392670157066</v>
      </c>
      <c r="EL12" s="1">
        <v>72.5</v>
      </c>
      <c r="EM12" s="10">
        <v>79</v>
      </c>
      <c r="EN12" s="10">
        <v>80</v>
      </c>
      <c r="EO12" s="6">
        <f t="shared" si="47"/>
        <v>77.166666666666671</v>
      </c>
      <c r="EP12" s="6">
        <f t="shared" si="48"/>
        <v>80.802792321116939</v>
      </c>
      <c r="EQ12" s="10">
        <v>86</v>
      </c>
      <c r="ER12" s="10">
        <v>90</v>
      </c>
      <c r="ES12" s="10">
        <v>91</v>
      </c>
      <c r="ET12" s="6">
        <f t="shared" si="49"/>
        <v>89</v>
      </c>
      <c r="EU12" s="6">
        <f t="shared" si="50"/>
        <v>93.193717277486911</v>
      </c>
      <c r="EV12" s="10">
        <v>87</v>
      </c>
      <c r="EW12" s="10">
        <v>89</v>
      </c>
      <c r="EX12" s="10">
        <v>93</v>
      </c>
      <c r="EY12" s="6">
        <f t="shared" si="51"/>
        <v>89.666666666666671</v>
      </c>
      <c r="EZ12" s="6">
        <f t="shared" si="52"/>
        <v>93.891797556719027</v>
      </c>
      <c r="FA12" s="10">
        <v>84</v>
      </c>
      <c r="FB12" s="10">
        <v>84</v>
      </c>
      <c r="FC12" s="10">
        <v>80</v>
      </c>
      <c r="FD12" s="6">
        <f t="shared" si="53"/>
        <v>82.666666666666671</v>
      </c>
      <c r="FE12" s="6">
        <f t="shared" si="54"/>
        <v>86.561954624781862</v>
      </c>
      <c r="FF12" s="10">
        <v>85</v>
      </c>
      <c r="FG12" s="10">
        <v>87</v>
      </c>
      <c r="FH12" s="10">
        <v>92</v>
      </c>
      <c r="FI12" s="6">
        <f t="shared" si="55"/>
        <v>88</v>
      </c>
      <c r="FJ12" s="6">
        <f t="shared" si="56"/>
        <v>92.146596858638745</v>
      </c>
      <c r="FK12" s="1">
        <v>85.5</v>
      </c>
      <c r="FL12" s="1">
        <v>85.5</v>
      </c>
      <c r="FM12" s="10">
        <v>92</v>
      </c>
      <c r="FN12" s="6">
        <f t="shared" si="57"/>
        <v>87.666666666666671</v>
      </c>
      <c r="FO12" s="6">
        <f t="shared" si="58"/>
        <v>91.797556719022694</v>
      </c>
      <c r="FP12" s="1">
        <v>90.5</v>
      </c>
      <c r="FQ12" s="10">
        <v>92</v>
      </c>
      <c r="FR12" s="10">
        <v>94</v>
      </c>
      <c r="FS12" s="6">
        <f t="shared" si="59"/>
        <v>92.166666666666671</v>
      </c>
      <c r="FT12" s="6">
        <f t="shared" si="60"/>
        <v>96.509598603839436</v>
      </c>
      <c r="FU12" s="10">
        <v>79</v>
      </c>
      <c r="FV12" s="10">
        <v>80</v>
      </c>
      <c r="FW12" s="10">
        <v>83</v>
      </c>
      <c r="FX12" s="6">
        <f t="shared" si="61"/>
        <v>80.666666666666671</v>
      </c>
      <c r="FY12" s="6">
        <f t="shared" si="62"/>
        <v>84.467713787085515</v>
      </c>
      <c r="FZ12" s="10">
        <v>85</v>
      </c>
      <c r="GA12" s="10">
        <v>90</v>
      </c>
      <c r="GB12" s="10">
        <v>95</v>
      </c>
      <c r="GC12" s="6">
        <f t="shared" si="63"/>
        <v>90</v>
      </c>
      <c r="GD12" s="6">
        <f t="shared" si="64"/>
        <v>94.240837696335078</v>
      </c>
      <c r="GE12" s="10">
        <v>69</v>
      </c>
      <c r="GF12" s="1">
        <v>75.5</v>
      </c>
      <c r="GG12" s="1">
        <v>75.5</v>
      </c>
      <c r="GH12" s="6">
        <f t="shared" si="65"/>
        <v>73.333333333333329</v>
      </c>
      <c r="GI12" s="6">
        <f t="shared" si="66"/>
        <v>76.788830715532285</v>
      </c>
      <c r="GJ12" s="10">
        <v>85</v>
      </c>
      <c r="GK12" s="10">
        <v>98</v>
      </c>
      <c r="GL12" s="1">
        <v>92.5</v>
      </c>
      <c r="GM12" s="6">
        <f t="shared" si="67"/>
        <v>91.833333333333329</v>
      </c>
      <c r="GN12" s="6">
        <f t="shared" si="68"/>
        <v>96.160558464223385</v>
      </c>
      <c r="GO12" s="10">
        <v>79</v>
      </c>
      <c r="GP12" s="11" t="s">
        <v>208</v>
      </c>
      <c r="GQ12" s="6"/>
      <c r="GR12" s="12"/>
      <c r="GS12" s="12">
        <f t="shared" si="72"/>
        <v>85.76471738705996</v>
      </c>
      <c r="GT12" s="12"/>
      <c r="GU12" s="12">
        <f t="shared" si="73"/>
        <v>81.849912739965092</v>
      </c>
      <c r="GV12" s="12">
        <f t="shared" si="69"/>
        <v>86.082024432809774</v>
      </c>
      <c r="GW12" s="12">
        <f t="shared" si="74"/>
        <v>4.2321116928446827</v>
      </c>
      <c r="GX12" s="12"/>
      <c r="GY12" s="12"/>
      <c r="GZ12" s="13">
        <f t="shared" si="75"/>
        <v>85.76471738705996</v>
      </c>
      <c r="HA12" s="6"/>
      <c r="HB12" s="10">
        <f t="shared" si="70"/>
        <v>3.2940663176265446</v>
      </c>
      <c r="HD12" s="10">
        <f t="shared" si="76"/>
        <v>88.39441535776615</v>
      </c>
      <c r="HE12" s="10">
        <f t="shared" si="71"/>
        <v>91.688481675392694</v>
      </c>
      <c r="HG12" s="10"/>
      <c r="HH12" s="10"/>
    </row>
    <row r="13" spans="1:216" ht="15.75" customHeight="1">
      <c r="A13" s="1" t="s">
        <v>219</v>
      </c>
      <c r="B13" s="10">
        <v>19</v>
      </c>
      <c r="C13" s="1" t="s">
        <v>203</v>
      </c>
      <c r="D13" s="10">
        <v>78</v>
      </c>
      <c r="E13" s="10">
        <v>186</v>
      </c>
      <c r="F13" s="10">
        <v>105</v>
      </c>
      <c r="G13" s="1" t="s">
        <v>204</v>
      </c>
      <c r="H13" s="1" t="s">
        <v>205</v>
      </c>
      <c r="I13" s="1" t="s">
        <v>204</v>
      </c>
      <c r="J13" s="1" t="s">
        <v>204</v>
      </c>
      <c r="K13" s="10">
        <v>14</v>
      </c>
      <c r="L13" s="1" t="s">
        <v>206</v>
      </c>
      <c r="M13" s="1" t="s">
        <v>207</v>
      </c>
      <c r="N13" s="1">
        <v>76.400000000000006</v>
      </c>
      <c r="O13" s="1">
        <v>80.599999999999994</v>
      </c>
      <c r="P13" s="1">
        <v>81.599999999999994</v>
      </c>
      <c r="Q13" s="6">
        <f t="shared" si="0"/>
        <v>79.533333333333331</v>
      </c>
      <c r="R13" s="1">
        <v>83.5</v>
      </c>
      <c r="S13" s="10">
        <v>83</v>
      </c>
      <c r="T13" s="10">
        <v>85</v>
      </c>
      <c r="U13" s="6">
        <f t="shared" si="1"/>
        <v>83.833333333333329</v>
      </c>
      <c r="V13" s="1">
        <v>160.9</v>
      </c>
      <c r="W13" s="1">
        <v>150.30000000000001</v>
      </c>
      <c r="X13" s="1">
        <v>160.30000000000001</v>
      </c>
      <c r="Y13" s="6">
        <f t="shared" si="2"/>
        <v>157.16666666666669</v>
      </c>
      <c r="Z13" s="10">
        <v>155</v>
      </c>
      <c r="AA13" s="1">
        <v>161.30000000000001</v>
      </c>
      <c r="AB13" s="10">
        <v>161</v>
      </c>
      <c r="AC13" s="6">
        <f t="shared" si="3"/>
        <v>159.1</v>
      </c>
      <c r="AD13" s="10">
        <v>0</v>
      </c>
      <c r="AE13" s="10">
        <v>0</v>
      </c>
      <c r="AF13" s="10">
        <v>0</v>
      </c>
      <c r="AG13" s="10">
        <v>0</v>
      </c>
      <c r="AH13" s="10">
        <v>3</v>
      </c>
      <c r="AI13" s="10">
        <v>1</v>
      </c>
      <c r="AJ13" s="10">
        <f t="shared" si="4"/>
        <v>4</v>
      </c>
      <c r="AK13" s="10">
        <v>95</v>
      </c>
      <c r="AL13" s="10">
        <v>97</v>
      </c>
      <c r="AM13" s="10">
        <v>98</v>
      </c>
      <c r="AN13" s="10">
        <f t="shared" si="5"/>
        <v>96.666666666666671</v>
      </c>
      <c r="AO13" s="10">
        <f t="shared" si="6"/>
        <v>92.063492063492063</v>
      </c>
      <c r="AP13" s="10">
        <v>104</v>
      </c>
      <c r="AQ13" s="10">
        <v>106</v>
      </c>
      <c r="AR13" s="10">
        <v>108</v>
      </c>
      <c r="AS13" s="6">
        <f t="shared" si="7"/>
        <v>106</v>
      </c>
      <c r="AT13" s="6">
        <f t="shared" si="8"/>
        <v>100.95238095238095</v>
      </c>
      <c r="AU13" s="10">
        <v>89</v>
      </c>
      <c r="AV13" s="10">
        <v>90</v>
      </c>
      <c r="AW13" s="10">
        <v>92</v>
      </c>
      <c r="AX13" s="6">
        <f t="shared" si="9"/>
        <v>90.333333333333329</v>
      </c>
      <c r="AY13" s="6">
        <f t="shared" si="10"/>
        <v>86.031746031746025</v>
      </c>
      <c r="AZ13" s="10">
        <v>84</v>
      </c>
      <c r="BA13" s="10">
        <v>85</v>
      </c>
      <c r="BB13" s="10">
        <v>85</v>
      </c>
      <c r="BC13" s="6">
        <f t="shared" si="11"/>
        <v>84.666666666666671</v>
      </c>
      <c r="BD13" s="10">
        <f t="shared" si="12"/>
        <v>80.634920634920633</v>
      </c>
      <c r="BE13" s="10">
        <v>97</v>
      </c>
      <c r="BF13" s="10">
        <v>99</v>
      </c>
      <c r="BG13" s="10">
        <v>102</v>
      </c>
      <c r="BH13" s="10">
        <f t="shared" si="13"/>
        <v>84.666666666666671</v>
      </c>
      <c r="BI13" s="10">
        <f t="shared" si="14"/>
        <v>80.634920634920633</v>
      </c>
      <c r="BJ13" s="10">
        <v>86</v>
      </c>
      <c r="BK13" s="10">
        <v>89</v>
      </c>
      <c r="BL13" s="10">
        <v>96</v>
      </c>
      <c r="BM13" s="10">
        <f t="shared" si="15"/>
        <v>90.333333333333329</v>
      </c>
      <c r="BN13" s="10">
        <f t="shared" si="16"/>
        <v>86.031746031746025</v>
      </c>
      <c r="BO13" s="10">
        <v>94</v>
      </c>
      <c r="BP13" s="10">
        <v>102</v>
      </c>
      <c r="BQ13" s="10">
        <v>103</v>
      </c>
      <c r="BR13" s="1">
        <f t="shared" si="17"/>
        <v>99.666666666666671</v>
      </c>
      <c r="BS13" s="1">
        <f t="shared" si="18"/>
        <v>94.920634920634924</v>
      </c>
      <c r="BT13" s="10">
        <v>85</v>
      </c>
      <c r="BU13" s="10">
        <v>86</v>
      </c>
      <c r="BV13" s="10">
        <v>87</v>
      </c>
      <c r="BW13" s="10">
        <f t="shared" si="19"/>
        <v>86</v>
      </c>
      <c r="BX13" s="10">
        <f t="shared" si="20"/>
        <v>81.904761904761898</v>
      </c>
      <c r="BY13" s="10">
        <v>100</v>
      </c>
      <c r="BZ13" s="10">
        <v>101</v>
      </c>
      <c r="CA13" s="10">
        <v>102</v>
      </c>
      <c r="CB13" s="10">
        <f t="shared" si="21"/>
        <v>101</v>
      </c>
      <c r="CC13" s="10">
        <f t="shared" si="22"/>
        <v>96.19047619047619</v>
      </c>
      <c r="CD13" s="10">
        <v>96</v>
      </c>
      <c r="CE13" s="10">
        <v>100</v>
      </c>
      <c r="CF13" s="10">
        <v>100</v>
      </c>
      <c r="CG13" s="1">
        <f t="shared" si="23"/>
        <v>98.666666666666671</v>
      </c>
      <c r="CH13" s="1">
        <f t="shared" si="24"/>
        <v>93.968253968253961</v>
      </c>
      <c r="CI13" s="10">
        <v>93</v>
      </c>
      <c r="CJ13" s="10">
        <v>93</v>
      </c>
      <c r="CK13" s="10">
        <v>94</v>
      </c>
      <c r="CL13" s="10">
        <f t="shared" si="25"/>
        <v>93.333333333333329</v>
      </c>
      <c r="CM13" s="10">
        <f t="shared" si="26"/>
        <v>88.888888888888886</v>
      </c>
      <c r="CN13" s="10">
        <v>95</v>
      </c>
      <c r="CO13" s="10">
        <v>96</v>
      </c>
      <c r="CP13" s="10">
        <v>97</v>
      </c>
      <c r="CQ13" s="1">
        <f t="shared" si="27"/>
        <v>96</v>
      </c>
      <c r="CR13" s="1">
        <f t="shared" si="28"/>
        <v>91.428571428571431</v>
      </c>
      <c r="CS13" s="10">
        <v>94</v>
      </c>
      <c r="CT13" s="10">
        <v>95</v>
      </c>
      <c r="CU13" s="10">
        <v>101</v>
      </c>
      <c r="CV13" s="10">
        <f t="shared" si="29"/>
        <v>96.666666666666671</v>
      </c>
      <c r="CW13" s="10">
        <f t="shared" si="30"/>
        <v>92.063492063492063</v>
      </c>
      <c r="CX13" s="10">
        <v>96</v>
      </c>
      <c r="CY13" s="10">
        <v>98</v>
      </c>
      <c r="CZ13" s="10">
        <v>93</v>
      </c>
      <c r="DA13" s="10">
        <f t="shared" si="31"/>
        <v>95.666666666666671</v>
      </c>
      <c r="DB13" s="10">
        <f t="shared" si="32"/>
        <v>91.111111111111114</v>
      </c>
      <c r="DC13" s="10">
        <v>90</v>
      </c>
      <c r="DD13" s="10">
        <v>94</v>
      </c>
      <c r="DE13" s="10">
        <v>96</v>
      </c>
      <c r="DF13" s="1">
        <f t="shared" si="33"/>
        <v>93.333333333333329</v>
      </c>
      <c r="DG13" s="1">
        <f t="shared" si="34"/>
        <v>88.888888888888886</v>
      </c>
      <c r="DH13" s="10">
        <v>98</v>
      </c>
      <c r="DI13" s="10">
        <v>101</v>
      </c>
      <c r="DJ13" s="10">
        <v>104</v>
      </c>
      <c r="DK13" s="10">
        <f t="shared" si="35"/>
        <v>101</v>
      </c>
      <c r="DL13" s="10">
        <f t="shared" si="36"/>
        <v>96.19047619047619</v>
      </c>
      <c r="DM13" s="10">
        <v>108</v>
      </c>
      <c r="DN13" s="10">
        <v>112</v>
      </c>
      <c r="DO13" s="10">
        <v>113</v>
      </c>
      <c r="DP13" s="6">
        <f t="shared" si="37"/>
        <v>111</v>
      </c>
      <c r="DQ13" s="10">
        <f t="shared" si="38"/>
        <v>105.71428571428572</v>
      </c>
      <c r="DR13" s="10">
        <v>105</v>
      </c>
      <c r="DS13" s="10">
        <v>106</v>
      </c>
      <c r="DT13" s="10">
        <v>108</v>
      </c>
      <c r="DU13" s="6">
        <f t="shared" si="39"/>
        <v>106.33333333333333</v>
      </c>
      <c r="DV13" s="1">
        <f t="shared" si="40"/>
        <v>101.26984126984127</v>
      </c>
      <c r="DW13" s="10">
        <v>96</v>
      </c>
      <c r="DX13" s="10">
        <v>100</v>
      </c>
      <c r="DY13" s="10">
        <v>102</v>
      </c>
      <c r="DZ13" s="6">
        <f t="shared" si="41"/>
        <v>99.333333333333329</v>
      </c>
      <c r="EA13" s="6">
        <f t="shared" si="42"/>
        <v>94.603174603174594</v>
      </c>
      <c r="EB13" s="10">
        <v>88</v>
      </c>
      <c r="EC13" s="10">
        <v>91</v>
      </c>
      <c r="ED13" s="10">
        <v>92</v>
      </c>
      <c r="EE13" s="6">
        <f t="shared" si="43"/>
        <v>90.333333333333329</v>
      </c>
      <c r="EF13" s="6">
        <f t="shared" si="44"/>
        <v>86.031746031746025</v>
      </c>
      <c r="EG13" s="10">
        <v>100</v>
      </c>
      <c r="EH13" s="10">
        <v>100</v>
      </c>
      <c r="EI13" s="10">
        <v>104</v>
      </c>
      <c r="EJ13" s="6">
        <f t="shared" si="45"/>
        <v>101.33333333333333</v>
      </c>
      <c r="EK13" s="6">
        <f t="shared" si="46"/>
        <v>96.507936507936492</v>
      </c>
      <c r="EL13" s="10">
        <v>88</v>
      </c>
      <c r="EM13" s="10">
        <v>89</v>
      </c>
      <c r="EN13" s="10">
        <v>91</v>
      </c>
      <c r="EO13" s="6">
        <f t="shared" si="47"/>
        <v>89.333333333333329</v>
      </c>
      <c r="EP13" s="6">
        <f t="shared" si="48"/>
        <v>85.079365079365076</v>
      </c>
      <c r="EQ13" s="10">
        <v>99</v>
      </c>
      <c r="ER13" s="10">
        <v>99</v>
      </c>
      <c r="ES13" s="10">
        <v>100</v>
      </c>
      <c r="ET13" s="6">
        <f t="shared" si="49"/>
        <v>99.333333333333329</v>
      </c>
      <c r="EU13" s="6">
        <f t="shared" si="50"/>
        <v>94.603174603174594</v>
      </c>
      <c r="EV13" s="10">
        <v>88</v>
      </c>
      <c r="EW13" s="10">
        <v>90</v>
      </c>
      <c r="EX13" s="10">
        <v>95</v>
      </c>
      <c r="EY13" s="6">
        <f t="shared" si="51"/>
        <v>91</v>
      </c>
      <c r="EZ13" s="6">
        <f t="shared" si="52"/>
        <v>86.666666666666671</v>
      </c>
      <c r="FA13" s="10">
        <v>94</v>
      </c>
      <c r="FB13" s="10">
        <v>97</v>
      </c>
      <c r="FC13" s="10">
        <v>97</v>
      </c>
      <c r="FD13" s="6">
        <f t="shared" si="53"/>
        <v>96</v>
      </c>
      <c r="FE13" s="6">
        <f t="shared" si="54"/>
        <v>91.428571428571431</v>
      </c>
      <c r="FF13" s="10">
        <v>92</v>
      </c>
      <c r="FG13" s="10">
        <v>95</v>
      </c>
      <c r="FH13" s="10">
        <v>98</v>
      </c>
      <c r="FI13" s="6">
        <f t="shared" si="55"/>
        <v>95</v>
      </c>
      <c r="FJ13" s="6">
        <f t="shared" si="56"/>
        <v>90.476190476190482</v>
      </c>
      <c r="FK13" s="10">
        <v>88</v>
      </c>
      <c r="FL13" s="10">
        <v>93</v>
      </c>
      <c r="FM13" s="10">
        <v>98</v>
      </c>
      <c r="FN13" s="6">
        <f t="shared" si="57"/>
        <v>93</v>
      </c>
      <c r="FO13" s="6">
        <f t="shared" si="58"/>
        <v>88.571428571428569</v>
      </c>
      <c r="FP13" s="10">
        <v>91</v>
      </c>
      <c r="FQ13" s="10">
        <v>98</v>
      </c>
      <c r="FR13" s="10">
        <v>98</v>
      </c>
      <c r="FS13" s="6">
        <f t="shared" si="59"/>
        <v>95.666666666666671</v>
      </c>
      <c r="FT13" s="6">
        <f t="shared" si="60"/>
        <v>91.111111111111114</v>
      </c>
      <c r="FU13" s="10">
        <v>93</v>
      </c>
      <c r="FV13" s="10">
        <v>96</v>
      </c>
      <c r="FW13" s="10">
        <v>97</v>
      </c>
      <c r="FX13" s="6">
        <f t="shared" si="61"/>
        <v>95.333333333333329</v>
      </c>
      <c r="FY13" s="6">
        <f t="shared" si="62"/>
        <v>90.793650793650798</v>
      </c>
      <c r="FZ13" s="10">
        <v>96</v>
      </c>
      <c r="GA13" s="10">
        <v>97</v>
      </c>
      <c r="GB13" s="10">
        <v>98</v>
      </c>
      <c r="GC13" s="6">
        <f t="shared" si="63"/>
        <v>97</v>
      </c>
      <c r="GD13" s="6">
        <f t="shared" si="64"/>
        <v>92.38095238095238</v>
      </c>
      <c r="GE13" s="10">
        <v>91</v>
      </c>
      <c r="GF13" s="10">
        <v>92</v>
      </c>
      <c r="GG13" s="10">
        <v>93</v>
      </c>
      <c r="GH13" s="6">
        <f t="shared" si="65"/>
        <v>92</v>
      </c>
      <c r="GI13" s="6">
        <f t="shared" si="66"/>
        <v>87.61904761904762</v>
      </c>
      <c r="GJ13" s="10">
        <v>102</v>
      </c>
      <c r="GK13" s="10">
        <v>102</v>
      </c>
      <c r="GL13" s="10">
        <v>106</v>
      </c>
      <c r="GM13" s="6">
        <f t="shared" si="67"/>
        <v>103.33333333333333</v>
      </c>
      <c r="GN13" s="6">
        <f t="shared" si="68"/>
        <v>98.412698412698404</v>
      </c>
      <c r="GO13" s="10">
        <v>79.5</v>
      </c>
      <c r="GP13" s="11" t="s">
        <v>208</v>
      </c>
      <c r="GQ13" s="6"/>
      <c r="GR13" s="12"/>
      <c r="GS13" s="12">
        <f t="shared" si="72"/>
        <v>86.428303849075746</v>
      </c>
      <c r="GT13" s="12"/>
      <c r="GU13" s="12">
        <f t="shared" si="73"/>
        <v>89.960317460317455</v>
      </c>
      <c r="GV13" s="12">
        <f t="shared" si="69"/>
        <v>90.277777777777771</v>
      </c>
      <c r="GW13" s="12">
        <f t="shared" si="74"/>
        <v>0.31746031746031633</v>
      </c>
      <c r="GX13" s="12"/>
      <c r="GY13" s="12"/>
      <c r="GZ13" s="13">
        <f t="shared" si="75"/>
        <v>86.428303849075746</v>
      </c>
      <c r="HA13" s="6"/>
      <c r="HB13" s="10">
        <f t="shared" si="70"/>
        <v>2.3015873015873041</v>
      </c>
      <c r="HD13" s="10">
        <f t="shared" si="76"/>
        <v>93.730158730158735</v>
      </c>
      <c r="HE13" s="10">
        <f t="shared" si="71"/>
        <v>91.428571428571431</v>
      </c>
      <c r="HG13" s="10"/>
      <c r="HH13" s="10"/>
    </row>
    <row r="14" spans="1:216" ht="15.75" customHeight="1">
      <c r="A14" s="1" t="s">
        <v>220</v>
      </c>
      <c r="B14" s="10">
        <v>17</v>
      </c>
      <c r="C14" s="1" t="s">
        <v>203</v>
      </c>
      <c r="D14" s="10">
        <v>78</v>
      </c>
      <c r="E14" s="10">
        <v>189</v>
      </c>
      <c r="F14" s="10">
        <v>107</v>
      </c>
      <c r="G14" s="1" t="s">
        <v>204</v>
      </c>
      <c r="H14" s="1" t="s">
        <v>205</v>
      </c>
      <c r="I14" s="1" t="s">
        <v>204</v>
      </c>
      <c r="J14" s="1" t="s">
        <v>204</v>
      </c>
      <c r="K14" s="10">
        <v>11</v>
      </c>
      <c r="L14" s="1" t="s">
        <v>206</v>
      </c>
      <c r="M14" s="1" t="s">
        <v>207</v>
      </c>
      <c r="N14" s="10">
        <v>79</v>
      </c>
      <c r="O14" s="1">
        <v>79.5</v>
      </c>
      <c r="P14" s="1">
        <v>85.2</v>
      </c>
      <c r="Q14" s="6">
        <f t="shared" si="0"/>
        <v>81.233333333333334</v>
      </c>
      <c r="R14" s="1">
        <v>77.8</v>
      </c>
      <c r="S14" s="1">
        <v>67.099999999999994</v>
      </c>
      <c r="T14" s="1">
        <v>69.7</v>
      </c>
      <c r="U14" s="6">
        <f t="shared" si="1"/>
        <v>71.533333333333317</v>
      </c>
      <c r="V14" s="1">
        <v>148.5</v>
      </c>
      <c r="W14" s="1">
        <v>146.1</v>
      </c>
      <c r="X14" s="1">
        <v>151.80000000000001</v>
      </c>
      <c r="Y14" s="6">
        <f t="shared" si="2"/>
        <v>148.80000000000001</v>
      </c>
      <c r="Z14" s="1">
        <v>151.30000000000001</v>
      </c>
      <c r="AA14" s="1">
        <v>151.30000000000001</v>
      </c>
      <c r="AB14" s="1">
        <v>151.30000000000001</v>
      </c>
      <c r="AC14" s="6">
        <f t="shared" si="3"/>
        <v>151.30000000000001</v>
      </c>
      <c r="AD14" s="10">
        <v>0</v>
      </c>
      <c r="AE14" s="10">
        <v>2</v>
      </c>
      <c r="AF14" s="10">
        <v>1</v>
      </c>
      <c r="AG14" s="10">
        <v>0</v>
      </c>
      <c r="AH14" s="10">
        <v>4</v>
      </c>
      <c r="AI14" s="10">
        <v>0</v>
      </c>
      <c r="AJ14" s="10">
        <f t="shared" si="4"/>
        <v>7</v>
      </c>
      <c r="AK14" s="10">
        <v>112</v>
      </c>
      <c r="AL14" s="10">
        <v>120</v>
      </c>
      <c r="AM14" s="10">
        <v>122</v>
      </c>
      <c r="AN14" s="10">
        <f t="shared" si="5"/>
        <v>118</v>
      </c>
      <c r="AO14" s="10">
        <f t="shared" si="6"/>
        <v>110.28037383177569</v>
      </c>
      <c r="AP14" s="10">
        <v>113</v>
      </c>
      <c r="AQ14" s="10">
        <v>121</v>
      </c>
      <c r="AR14" s="10">
        <v>124</v>
      </c>
      <c r="AS14" s="6">
        <f t="shared" si="7"/>
        <v>119.33333333333333</v>
      </c>
      <c r="AT14" s="6">
        <f t="shared" si="8"/>
        <v>111.5264797507788</v>
      </c>
      <c r="AU14" s="10">
        <v>84</v>
      </c>
      <c r="AV14" s="10">
        <v>86</v>
      </c>
      <c r="AW14" s="10">
        <v>87</v>
      </c>
      <c r="AX14" s="6">
        <f t="shared" si="9"/>
        <v>85.666666666666671</v>
      </c>
      <c r="AY14" s="6">
        <f t="shared" si="10"/>
        <v>80.062305295950168</v>
      </c>
      <c r="AZ14" s="10">
        <v>90</v>
      </c>
      <c r="BA14" s="10">
        <v>93</v>
      </c>
      <c r="BB14" s="10">
        <v>93</v>
      </c>
      <c r="BC14" s="6">
        <f t="shared" si="11"/>
        <v>92</v>
      </c>
      <c r="BD14" s="10">
        <f t="shared" si="12"/>
        <v>85.981308411214954</v>
      </c>
      <c r="BE14" s="10">
        <v>89</v>
      </c>
      <c r="BF14" s="10">
        <v>90</v>
      </c>
      <c r="BG14" s="10">
        <v>95</v>
      </c>
      <c r="BH14" s="10">
        <f t="shared" si="13"/>
        <v>92</v>
      </c>
      <c r="BI14" s="10">
        <f t="shared" si="14"/>
        <v>85.981308411214954</v>
      </c>
      <c r="BJ14" s="10">
        <v>91</v>
      </c>
      <c r="BK14" s="10">
        <v>92</v>
      </c>
      <c r="BL14" s="10">
        <v>93</v>
      </c>
      <c r="BM14" s="10">
        <f t="shared" si="15"/>
        <v>92</v>
      </c>
      <c r="BN14" s="10">
        <f t="shared" si="16"/>
        <v>85.981308411214954</v>
      </c>
      <c r="BO14" s="10">
        <v>90</v>
      </c>
      <c r="BP14" s="10">
        <v>91</v>
      </c>
      <c r="BQ14" s="10">
        <v>92</v>
      </c>
      <c r="BR14" s="1">
        <f t="shared" si="17"/>
        <v>91</v>
      </c>
      <c r="BS14" s="1">
        <f t="shared" si="18"/>
        <v>85.046728971962608</v>
      </c>
      <c r="BT14" s="10">
        <v>97</v>
      </c>
      <c r="BU14" s="10">
        <v>99</v>
      </c>
      <c r="BV14" s="10">
        <v>101</v>
      </c>
      <c r="BW14" s="10">
        <f t="shared" si="19"/>
        <v>99</v>
      </c>
      <c r="BX14" s="10">
        <f t="shared" si="20"/>
        <v>92.523364485981304</v>
      </c>
      <c r="BY14" s="10">
        <v>75</v>
      </c>
      <c r="BZ14" s="10">
        <v>87</v>
      </c>
      <c r="CA14" s="10">
        <v>89</v>
      </c>
      <c r="CB14" s="10">
        <f t="shared" si="21"/>
        <v>83.666666666666671</v>
      </c>
      <c r="CC14" s="10">
        <f t="shared" si="22"/>
        <v>78.19314641744549</v>
      </c>
      <c r="CD14" s="10">
        <v>78</v>
      </c>
      <c r="CE14" s="10">
        <v>91</v>
      </c>
      <c r="CF14" s="10">
        <v>99</v>
      </c>
      <c r="CG14" s="1">
        <f t="shared" si="23"/>
        <v>89.333333333333329</v>
      </c>
      <c r="CH14" s="1">
        <f t="shared" si="24"/>
        <v>83.489096573208727</v>
      </c>
      <c r="CI14" s="10">
        <v>81</v>
      </c>
      <c r="CJ14" s="10">
        <v>88</v>
      </c>
      <c r="CK14" s="10">
        <v>94</v>
      </c>
      <c r="CL14" s="10">
        <f t="shared" si="25"/>
        <v>87.666666666666671</v>
      </c>
      <c r="CM14" s="10">
        <f t="shared" si="26"/>
        <v>81.931464174454831</v>
      </c>
      <c r="CN14" s="10">
        <v>95</v>
      </c>
      <c r="CO14" s="10">
        <v>99</v>
      </c>
      <c r="CP14" s="10">
        <v>101</v>
      </c>
      <c r="CQ14" s="1">
        <f t="shared" si="27"/>
        <v>98.333333333333329</v>
      </c>
      <c r="CR14" s="1">
        <f t="shared" si="28"/>
        <v>91.900311526479754</v>
      </c>
      <c r="CS14" s="10">
        <v>77</v>
      </c>
      <c r="CT14" s="10">
        <v>81</v>
      </c>
      <c r="CU14" s="10">
        <v>85</v>
      </c>
      <c r="CV14" s="10">
        <f t="shared" si="29"/>
        <v>81</v>
      </c>
      <c r="CW14" s="10">
        <f t="shared" si="30"/>
        <v>75.700934579439249</v>
      </c>
      <c r="CX14" s="10">
        <v>91</v>
      </c>
      <c r="CY14" s="10">
        <v>93</v>
      </c>
      <c r="CZ14" s="10">
        <v>97</v>
      </c>
      <c r="DA14" s="10">
        <f t="shared" si="31"/>
        <v>93.666666666666671</v>
      </c>
      <c r="DB14" s="10">
        <f t="shared" si="32"/>
        <v>87.538940809968864</v>
      </c>
      <c r="DC14" s="10">
        <v>88</v>
      </c>
      <c r="DD14" s="10">
        <v>89</v>
      </c>
      <c r="DE14" s="10">
        <v>90</v>
      </c>
      <c r="DF14" s="1">
        <f t="shared" si="33"/>
        <v>89</v>
      </c>
      <c r="DG14" s="1">
        <f t="shared" si="34"/>
        <v>83.177570093457945</v>
      </c>
      <c r="DH14" s="10">
        <v>88</v>
      </c>
      <c r="DI14" s="10">
        <v>89</v>
      </c>
      <c r="DJ14" s="10">
        <v>91</v>
      </c>
      <c r="DK14" s="10">
        <f t="shared" si="35"/>
        <v>89.333333333333329</v>
      </c>
      <c r="DL14" s="10">
        <f t="shared" si="36"/>
        <v>83.489096573208727</v>
      </c>
      <c r="DM14" s="10">
        <v>117</v>
      </c>
      <c r="DN14" s="10">
        <v>117</v>
      </c>
      <c r="DO14" s="10">
        <v>114</v>
      </c>
      <c r="DP14" s="6">
        <f t="shared" si="37"/>
        <v>116</v>
      </c>
      <c r="DQ14" s="10">
        <f t="shared" si="38"/>
        <v>108.41121495327101</v>
      </c>
      <c r="DR14" s="10">
        <v>119</v>
      </c>
      <c r="DS14" s="10">
        <v>122</v>
      </c>
      <c r="DT14" s="10">
        <v>122</v>
      </c>
      <c r="DU14" s="6">
        <f t="shared" si="39"/>
        <v>121</v>
      </c>
      <c r="DV14" s="1">
        <f t="shared" si="40"/>
        <v>113.08411214953271</v>
      </c>
      <c r="DW14" s="10">
        <v>86</v>
      </c>
      <c r="DX14" s="10">
        <v>86</v>
      </c>
      <c r="DY14" s="10">
        <v>90</v>
      </c>
      <c r="DZ14" s="6">
        <f t="shared" si="41"/>
        <v>87.333333333333329</v>
      </c>
      <c r="EA14" s="6">
        <f t="shared" si="42"/>
        <v>81.619937694704049</v>
      </c>
      <c r="EB14" s="10">
        <v>90</v>
      </c>
      <c r="EC14" s="10">
        <v>91</v>
      </c>
      <c r="ED14" s="10">
        <v>91</v>
      </c>
      <c r="EE14" s="6">
        <f t="shared" si="43"/>
        <v>90.666666666666671</v>
      </c>
      <c r="EF14" s="6">
        <f t="shared" si="44"/>
        <v>84.73520249221184</v>
      </c>
      <c r="EG14" s="10">
        <v>97</v>
      </c>
      <c r="EH14" s="10">
        <v>102</v>
      </c>
      <c r="EI14" s="10">
        <v>102</v>
      </c>
      <c r="EJ14" s="6">
        <f t="shared" si="45"/>
        <v>100.33333333333333</v>
      </c>
      <c r="EK14" s="6">
        <f t="shared" si="46"/>
        <v>93.769470404984418</v>
      </c>
      <c r="EL14" s="10">
        <v>95</v>
      </c>
      <c r="EM14" s="10">
        <v>95</v>
      </c>
      <c r="EN14" s="10">
        <v>98</v>
      </c>
      <c r="EO14" s="6">
        <f t="shared" si="47"/>
        <v>96</v>
      </c>
      <c r="EP14" s="6">
        <f t="shared" si="48"/>
        <v>89.719626168224295</v>
      </c>
      <c r="EQ14" s="10">
        <v>102</v>
      </c>
      <c r="ER14" s="10">
        <v>102</v>
      </c>
      <c r="ES14" s="10">
        <v>108</v>
      </c>
      <c r="ET14" s="6">
        <f t="shared" si="49"/>
        <v>104</v>
      </c>
      <c r="EU14" s="6">
        <f t="shared" si="50"/>
        <v>97.196261682242991</v>
      </c>
      <c r="EV14" s="10">
        <v>99</v>
      </c>
      <c r="EW14" s="10">
        <v>99</v>
      </c>
      <c r="EX14" s="10">
        <v>100</v>
      </c>
      <c r="EY14" s="6">
        <f t="shared" si="51"/>
        <v>99.333333333333329</v>
      </c>
      <c r="EZ14" s="6">
        <f t="shared" si="52"/>
        <v>92.834890965732086</v>
      </c>
      <c r="FA14" s="10">
        <v>83</v>
      </c>
      <c r="FB14" s="10">
        <v>90</v>
      </c>
      <c r="FC14" s="10">
        <v>91</v>
      </c>
      <c r="FD14" s="6">
        <f t="shared" si="53"/>
        <v>88</v>
      </c>
      <c r="FE14" s="6">
        <f t="shared" si="54"/>
        <v>82.242990654205599</v>
      </c>
      <c r="FF14" s="10">
        <v>82</v>
      </c>
      <c r="FG14" s="10">
        <v>87</v>
      </c>
      <c r="FH14" s="10">
        <v>89</v>
      </c>
      <c r="FI14" s="6">
        <f t="shared" si="55"/>
        <v>86</v>
      </c>
      <c r="FJ14" s="6">
        <f t="shared" si="56"/>
        <v>80.373831775700936</v>
      </c>
      <c r="FK14" s="10">
        <v>92</v>
      </c>
      <c r="FL14" s="10">
        <v>98</v>
      </c>
      <c r="FM14" s="10">
        <v>103</v>
      </c>
      <c r="FN14" s="6">
        <f t="shared" si="57"/>
        <v>97.666666666666671</v>
      </c>
      <c r="FO14" s="6">
        <f t="shared" si="58"/>
        <v>91.27725856697819</v>
      </c>
      <c r="FP14" s="10">
        <v>100</v>
      </c>
      <c r="FQ14" s="10">
        <v>103</v>
      </c>
      <c r="FR14" s="10">
        <v>106</v>
      </c>
      <c r="FS14" s="6">
        <f t="shared" si="59"/>
        <v>103</v>
      </c>
      <c r="FT14" s="6">
        <f t="shared" si="60"/>
        <v>96.261682242990659</v>
      </c>
      <c r="FU14" s="10">
        <v>88</v>
      </c>
      <c r="FV14" s="10">
        <v>88</v>
      </c>
      <c r="FW14" s="10">
        <v>90</v>
      </c>
      <c r="FX14" s="6">
        <f t="shared" si="61"/>
        <v>88.666666666666671</v>
      </c>
      <c r="FY14" s="6">
        <f t="shared" si="62"/>
        <v>82.866043613707177</v>
      </c>
      <c r="FZ14" s="10">
        <v>99</v>
      </c>
      <c r="GA14" s="10">
        <v>100</v>
      </c>
      <c r="GB14" s="10">
        <v>101</v>
      </c>
      <c r="GC14" s="6">
        <f t="shared" si="63"/>
        <v>100</v>
      </c>
      <c r="GD14" s="6">
        <f t="shared" si="64"/>
        <v>93.45794392523365</v>
      </c>
      <c r="GE14" s="10">
        <v>85</v>
      </c>
      <c r="GF14" s="10">
        <v>85</v>
      </c>
      <c r="GG14" s="10">
        <v>90</v>
      </c>
      <c r="GH14" s="6">
        <f t="shared" si="65"/>
        <v>86.666666666666671</v>
      </c>
      <c r="GI14" s="6">
        <f t="shared" si="66"/>
        <v>80.996884735202499</v>
      </c>
      <c r="GJ14" s="10">
        <v>82</v>
      </c>
      <c r="GK14" s="10">
        <v>92</v>
      </c>
      <c r="GL14" s="10">
        <v>93</v>
      </c>
      <c r="GM14" s="6">
        <f t="shared" si="67"/>
        <v>89</v>
      </c>
      <c r="GN14" s="6">
        <f t="shared" si="68"/>
        <v>83.177570093457945</v>
      </c>
      <c r="GO14" s="10">
        <v>80</v>
      </c>
      <c r="GP14" s="11" t="s">
        <v>208</v>
      </c>
      <c r="GQ14" s="6"/>
      <c r="GR14" s="12"/>
      <c r="GS14" s="12">
        <f t="shared" si="72"/>
        <v>85.269793356453121</v>
      </c>
      <c r="GT14" s="12"/>
      <c r="GU14" s="12">
        <f t="shared" si="73"/>
        <v>85.046728971962622</v>
      </c>
      <c r="GV14" s="12">
        <f t="shared" si="69"/>
        <v>90.303738317757009</v>
      </c>
      <c r="GW14" s="12">
        <f t="shared" si="74"/>
        <v>5.2570093457943869</v>
      </c>
      <c r="GX14" s="12"/>
      <c r="GY14" s="12"/>
      <c r="GZ14" s="13">
        <f t="shared" si="75"/>
        <v>85.269793356453121</v>
      </c>
      <c r="HA14" s="6"/>
      <c r="HB14" s="10">
        <f t="shared" si="70"/>
        <v>1.9080996884735129</v>
      </c>
      <c r="HD14" s="10">
        <f t="shared" si="76"/>
        <v>89.797507788161994</v>
      </c>
      <c r="HE14" s="10">
        <f t="shared" si="71"/>
        <v>91.705607476635507</v>
      </c>
      <c r="HG14" s="10"/>
      <c r="HH14" s="10"/>
    </row>
    <row r="15" spans="1:216" ht="15.75" customHeight="1">
      <c r="A15" s="1" t="s">
        <v>221</v>
      </c>
      <c r="B15" s="10">
        <v>16</v>
      </c>
      <c r="C15" s="1" t="s">
        <v>203</v>
      </c>
      <c r="D15" s="10">
        <v>78</v>
      </c>
      <c r="E15" s="10">
        <v>182</v>
      </c>
      <c r="F15" s="10">
        <v>105</v>
      </c>
      <c r="G15" s="1" t="s">
        <v>204</v>
      </c>
      <c r="H15" s="1" t="s">
        <v>205</v>
      </c>
      <c r="I15" s="1" t="s">
        <v>204</v>
      </c>
      <c r="J15" s="1" t="s">
        <v>204</v>
      </c>
      <c r="K15" s="10">
        <v>7</v>
      </c>
      <c r="L15" s="1" t="s">
        <v>206</v>
      </c>
      <c r="M15" s="1" t="s">
        <v>207</v>
      </c>
      <c r="N15" s="1">
        <v>81.2</v>
      </c>
      <c r="O15" s="1">
        <v>80.7</v>
      </c>
      <c r="P15" s="1">
        <v>85.6</v>
      </c>
      <c r="Q15" s="6">
        <f t="shared" si="0"/>
        <v>82.5</v>
      </c>
      <c r="R15" s="10">
        <v>75</v>
      </c>
      <c r="S15" s="1">
        <v>79.8</v>
      </c>
      <c r="T15" s="1">
        <v>74.400000000000006</v>
      </c>
      <c r="U15" s="6">
        <f t="shared" si="1"/>
        <v>76.400000000000006</v>
      </c>
      <c r="V15" s="1">
        <v>133.19999999999999</v>
      </c>
      <c r="W15" s="1">
        <v>128.80000000000001</v>
      </c>
      <c r="X15" s="1">
        <v>141.19999999999999</v>
      </c>
      <c r="Y15" s="6">
        <f t="shared" si="2"/>
        <v>134.4</v>
      </c>
      <c r="Z15" s="1">
        <v>140.80000000000001</v>
      </c>
      <c r="AA15" s="1">
        <v>148.1</v>
      </c>
      <c r="AB15" s="10">
        <v>134</v>
      </c>
      <c r="AC15" s="6">
        <f t="shared" si="3"/>
        <v>140.96666666666667</v>
      </c>
      <c r="AD15" s="10">
        <v>0</v>
      </c>
      <c r="AE15" s="10">
        <v>3</v>
      </c>
      <c r="AF15" s="10">
        <v>1</v>
      </c>
      <c r="AG15" s="10">
        <v>0</v>
      </c>
      <c r="AH15" s="10">
        <v>3</v>
      </c>
      <c r="AI15" s="10">
        <v>2</v>
      </c>
      <c r="AJ15" s="10">
        <f t="shared" si="4"/>
        <v>9</v>
      </c>
      <c r="AK15" s="1">
        <v>91.5</v>
      </c>
      <c r="AL15" s="1">
        <v>92.5</v>
      </c>
      <c r="AM15" s="1">
        <v>96.5</v>
      </c>
      <c r="AN15" s="10">
        <f t="shared" si="5"/>
        <v>93.5</v>
      </c>
      <c r="AO15" s="10">
        <f t="shared" si="6"/>
        <v>89.047619047619037</v>
      </c>
      <c r="AP15" s="1">
        <v>94.5</v>
      </c>
      <c r="AQ15" s="1">
        <v>97.5</v>
      </c>
      <c r="AR15" s="1">
        <v>98.5</v>
      </c>
      <c r="AS15" s="6">
        <f t="shared" si="7"/>
        <v>96.833333333333329</v>
      </c>
      <c r="AT15" s="6">
        <f t="shared" si="8"/>
        <v>92.222222222222214</v>
      </c>
      <c r="AU15" s="10">
        <v>74</v>
      </c>
      <c r="AV15" s="10">
        <v>76</v>
      </c>
      <c r="AW15" s="1">
        <v>79.5</v>
      </c>
      <c r="AX15" s="6">
        <f t="shared" si="9"/>
        <v>76.5</v>
      </c>
      <c r="AY15" s="6">
        <f t="shared" si="10"/>
        <v>72.857142857142847</v>
      </c>
      <c r="AZ15" s="10">
        <v>70</v>
      </c>
      <c r="BA15" s="10">
        <v>73</v>
      </c>
      <c r="BB15" s="1">
        <v>75.5</v>
      </c>
      <c r="BC15" s="6">
        <f t="shared" si="11"/>
        <v>72.833333333333329</v>
      </c>
      <c r="BD15" s="10">
        <f t="shared" si="12"/>
        <v>69.365079365079367</v>
      </c>
      <c r="BE15" s="10">
        <v>85</v>
      </c>
      <c r="BF15" s="1">
        <v>87.5</v>
      </c>
      <c r="BG15" s="10">
        <v>91</v>
      </c>
      <c r="BH15" s="10">
        <f t="shared" si="13"/>
        <v>72.833333333333329</v>
      </c>
      <c r="BI15" s="10">
        <f t="shared" si="14"/>
        <v>69.365079365079367</v>
      </c>
      <c r="BJ15" s="10">
        <v>65</v>
      </c>
      <c r="BK15" s="1">
        <v>74.5</v>
      </c>
      <c r="BL15" s="10">
        <v>75</v>
      </c>
      <c r="BM15" s="10">
        <f t="shared" si="15"/>
        <v>71.5</v>
      </c>
      <c r="BN15" s="10">
        <f t="shared" si="16"/>
        <v>68.095238095238102</v>
      </c>
      <c r="BO15" s="10">
        <v>89</v>
      </c>
      <c r="BP15" s="10">
        <v>97</v>
      </c>
      <c r="BQ15" s="10">
        <v>94</v>
      </c>
      <c r="BR15" s="1">
        <f t="shared" si="17"/>
        <v>93.333333333333329</v>
      </c>
      <c r="BS15" s="1">
        <f t="shared" si="18"/>
        <v>88.888888888888886</v>
      </c>
      <c r="BT15" s="10">
        <v>78</v>
      </c>
      <c r="BU15" s="10">
        <v>83</v>
      </c>
      <c r="BV15" s="10">
        <v>86</v>
      </c>
      <c r="BW15" s="10">
        <f t="shared" si="19"/>
        <v>82.333333333333329</v>
      </c>
      <c r="BX15" s="10">
        <f t="shared" si="20"/>
        <v>78.412698412698418</v>
      </c>
      <c r="BY15" s="10">
        <v>80</v>
      </c>
      <c r="BZ15" s="10">
        <v>83</v>
      </c>
      <c r="CA15" s="10">
        <v>84</v>
      </c>
      <c r="CB15" s="10">
        <f t="shared" si="21"/>
        <v>82.333333333333329</v>
      </c>
      <c r="CC15" s="10">
        <f t="shared" si="22"/>
        <v>78.412698412698418</v>
      </c>
      <c r="CD15" s="10">
        <v>78</v>
      </c>
      <c r="CE15" s="10">
        <v>78</v>
      </c>
      <c r="CF15" s="10">
        <v>82</v>
      </c>
      <c r="CG15" s="1">
        <f t="shared" si="23"/>
        <v>79.333333333333329</v>
      </c>
      <c r="CH15" s="1">
        <f t="shared" si="24"/>
        <v>75.555555555555557</v>
      </c>
      <c r="CI15" s="1">
        <v>78.5</v>
      </c>
      <c r="CJ15" s="10">
        <v>83</v>
      </c>
      <c r="CK15" s="10">
        <v>87</v>
      </c>
      <c r="CL15" s="10">
        <f t="shared" si="25"/>
        <v>82.833333333333329</v>
      </c>
      <c r="CM15" s="10">
        <f t="shared" si="26"/>
        <v>78.888888888888886</v>
      </c>
      <c r="CN15" s="1">
        <v>79.5</v>
      </c>
      <c r="CO15" s="10">
        <v>92</v>
      </c>
      <c r="CP15" s="10">
        <v>94</v>
      </c>
      <c r="CQ15" s="1">
        <f t="shared" si="27"/>
        <v>88.5</v>
      </c>
      <c r="CR15" s="1">
        <f t="shared" si="28"/>
        <v>84.285714285714292</v>
      </c>
      <c r="CS15" s="10">
        <v>66</v>
      </c>
      <c r="CT15" s="10">
        <v>73</v>
      </c>
      <c r="CU15" s="10">
        <v>79</v>
      </c>
      <c r="CV15" s="10">
        <f t="shared" si="29"/>
        <v>72.666666666666671</v>
      </c>
      <c r="CW15" s="10">
        <f t="shared" si="30"/>
        <v>69.206349206349216</v>
      </c>
      <c r="CX15" s="10">
        <v>84</v>
      </c>
      <c r="CY15" s="1">
        <v>88.5</v>
      </c>
      <c r="CZ15" s="10">
        <v>85</v>
      </c>
      <c r="DA15" s="10">
        <f t="shared" si="31"/>
        <v>85.833333333333329</v>
      </c>
      <c r="DB15" s="10">
        <f t="shared" si="32"/>
        <v>81.746031746031747</v>
      </c>
      <c r="DC15" s="10">
        <v>77</v>
      </c>
      <c r="DD15" s="1">
        <v>81.5</v>
      </c>
      <c r="DE15" s="10">
        <v>83</v>
      </c>
      <c r="DF15" s="1">
        <f t="shared" si="33"/>
        <v>80.5</v>
      </c>
      <c r="DG15" s="1">
        <f t="shared" si="34"/>
        <v>76.666666666666671</v>
      </c>
      <c r="DH15" s="10">
        <v>81</v>
      </c>
      <c r="DI15" s="10">
        <v>83</v>
      </c>
      <c r="DJ15" s="10">
        <v>84</v>
      </c>
      <c r="DK15" s="10">
        <f t="shared" si="35"/>
        <v>82.666666666666671</v>
      </c>
      <c r="DL15" s="10">
        <f t="shared" si="36"/>
        <v>78.730158730158735</v>
      </c>
      <c r="DM15" s="10">
        <v>96</v>
      </c>
      <c r="DN15" s="10">
        <v>100</v>
      </c>
      <c r="DO15" s="10">
        <v>100</v>
      </c>
      <c r="DP15" s="6">
        <f t="shared" si="37"/>
        <v>98.666666666666671</v>
      </c>
      <c r="DQ15" s="10">
        <f t="shared" si="38"/>
        <v>93.968253968253961</v>
      </c>
      <c r="DR15" s="10">
        <v>97</v>
      </c>
      <c r="DS15" s="10">
        <v>102</v>
      </c>
      <c r="DT15" s="10">
        <v>105</v>
      </c>
      <c r="DU15" s="6">
        <f t="shared" si="39"/>
        <v>101.33333333333333</v>
      </c>
      <c r="DV15" s="1">
        <f t="shared" si="40"/>
        <v>96.507936507936492</v>
      </c>
      <c r="DW15" s="1">
        <v>78.5</v>
      </c>
      <c r="DX15" s="1">
        <v>82.5</v>
      </c>
      <c r="DY15" s="10">
        <v>84</v>
      </c>
      <c r="DZ15" s="6">
        <f t="shared" si="41"/>
        <v>81.666666666666671</v>
      </c>
      <c r="EA15" s="6">
        <f t="shared" si="42"/>
        <v>77.777777777777786</v>
      </c>
      <c r="EB15" s="10">
        <v>76</v>
      </c>
      <c r="EC15" s="10">
        <v>78</v>
      </c>
      <c r="ED15" s="10">
        <v>80</v>
      </c>
      <c r="EE15" s="6">
        <f t="shared" si="43"/>
        <v>78</v>
      </c>
      <c r="EF15" s="6">
        <f t="shared" si="44"/>
        <v>74.285714285714292</v>
      </c>
      <c r="EG15" s="10">
        <v>82</v>
      </c>
      <c r="EH15" s="10">
        <v>82</v>
      </c>
      <c r="EI15" s="10">
        <v>85</v>
      </c>
      <c r="EJ15" s="6">
        <f t="shared" si="45"/>
        <v>83</v>
      </c>
      <c r="EK15" s="6">
        <f t="shared" si="46"/>
        <v>79.047619047619051</v>
      </c>
      <c r="EL15" s="10">
        <v>71</v>
      </c>
      <c r="EM15" s="10">
        <v>73</v>
      </c>
      <c r="EN15" s="10">
        <v>73</v>
      </c>
      <c r="EO15" s="6">
        <f t="shared" si="47"/>
        <v>72.333333333333329</v>
      </c>
      <c r="EP15" s="6">
        <f t="shared" si="48"/>
        <v>68.888888888888886</v>
      </c>
      <c r="EQ15" s="10">
        <v>87</v>
      </c>
      <c r="ER15" s="10">
        <v>90</v>
      </c>
      <c r="ES15" s="10">
        <v>94</v>
      </c>
      <c r="ET15" s="6">
        <f t="shared" si="49"/>
        <v>90.333333333333329</v>
      </c>
      <c r="EU15" s="6">
        <f t="shared" si="50"/>
        <v>86.031746031746025</v>
      </c>
      <c r="EV15" s="10">
        <v>88</v>
      </c>
      <c r="EW15" s="10">
        <v>89</v>
      </c>
      <c r="EX15" s="10">
        <v>92</v>
      </c>
      <c r="EY15" s="6">
        <f t="shared" si="51"/>
        <v>89.666666666666671</v>
      </c>
      <c r="EZ15" s="6">
        <f t="shared" si="52"/>
        <v>85.396825396825406</v>
      </c>
      <c r="FA15" s="10">
        <v>70</v>
      </c>
      <c r="FB15" s="1">
        <v>77.5</v>
      </c>
      <c r="FC15" s="10">
        <v>78</v>
      </c>
      <c r="FD15" s="6">
        <f t="shared" si="53"/>
        <v>75.166666666666671</v>
      </c>
      <c r="FE15" s="6">
        <f t="shared" si="54"/>
        <v>71.587301587301582</v>
      </c>
      <c r="FF15" s="10">
        <v>77</v>
      </c>
      <c r="FG15" s="10">
        <v>80</v>
      </c>
      <c r="FH15" s="10">
        <v>87</v>
      </c>
      <c r="FI15" s="6">
        <f t="shared" si="55"/>
        <v>81.333333333333329</v>
      </c>
      <c r="FJ15" s="6">
        <f t="shared" si="56"/>
        <v>77.460317460317455</v>
      </c>
      <c r="FK15" s="10">
        <v>80</v>
      </c>
      <c r="FL15" s="10">
        <v>85</v>
      </c>
      <c r="FM15" s="10">
        <v>89</v>
      </c>
      <c r="FN15" s="6">
        <f t="shared" si="57"/>
        <v>84.666666666666671</v>
      </c>
      <c r="FO15" s="6">
        <f t="shared" si="58"/>
        <v>80.634920634920633</v>
      </c>
      <c r="FP15" s="10">
        <v>90</v>
      </c>
      <c r="FQ15" s="10">
        <v>92</v>
      </c>
      <c r="FR15" s="10">
        <v>93</v>
      </c>
      <c r="FS15" s="6">
        <f t="shared" si="59"/>
        <v>91.666666666666671</v>
      </c>
      <c r="FT15" s="6">
        <f t="shared" si="60"/>
        <v>87.301587301587304</v>
      </c>
      <c r="FU15" s="1">
        <v>75.5</v>
      </c>
      <c r="FV15" s="10">
        <v>80</v>
      </c>
      <c r="FW15" s="10">
        <v>81</v>
      </c>
      <c r="FX15" s="6">
        <f t="shared" si="61"/>
        <v>78.833333333333329</v>
      </c>
      <c r="FY15" s="6">
        <f t="shared" si="62"/>
        <v>75.079365079365076</v>
      </c>
      <c r="FZ15" s="10">
        <v>89</v>
      </c>
      <c r="GA15" s="10">
        <v>90</v>
      </c>
      <c r="GB15" s="10">
        <v>93</v>
      </c>
      <c r="GC15" s="6">
        <f t="shared" si="63"/>
        <v>90.666666666666671</v>
      </c>
      <c r="GD15" s="6">
        <f t="shared" si="64"/>
        <v>86.349206349206355</v>
      </c>
      <c r="GE15" s="10">
        <v>83</v>
      </c>
      <c r="GF15" s="10">
        <v>84</v>
      </c>
      <c r="GG15" s="10">
        <v>85</v>
      </c>
      <c r="GH15" s="6">
        <f t="shared" si="65"/>
        <v>84</v>
      </c>
      <c r="GI15" s="6">
        <f t="shared" si="66"/>
        <v>80</v>
      </c>
      <c r="GJ15" s="1">
        <v>85.5</v>
      </c>
      <c r="GK15" s="10">
        <v>86</v>
      </c>
      <c r="GL15" s="1">
        <v>90.5</v>
      </c>
      <c r="GM15" s="6">
        <f t="shared" si="67"/>
        <v>87.333333333333329</v>
      </c>
      <c r="GN15" s="6">
        <f t="shared" si="68"/>
        <v>83.174603174603163</v>
      </c>
      <c r="GO15" s="10">
        <v>80.75</v>
      </c>
      <c r="GP15" s="15" t="s">
        <v>222</v>
      </c>
      <c r="GQ15" s="6"/>
      <c r="GR15" s="12"/>
      <c r="GS15" s="12">
        <f t="shared" si="72"/>
        <v>85.328233795278791</v>
      </c>
      <c r="GU15" s="12">
        <f t="shared" si="73"/>
        <v>77.916666666666671</v>
      </c>
      <c r="GV15" s="12">
        <f t="shared" si="69"/>
        <v>78.55158730158729</v>
      </c>
      <c r="GW15" s="12">
        <f t="shared" si="74"/>
        <v>0.63492063492061845</v>
      </c>
      <c r="GX15" s="12"/>
      <c r="GY15" s="12"/>
      <c r="GZ15" s="13">
        <f t="shared" si="75"/>
        <v>85.328233795278791</v>
      </c>
      <c r="HA15" s="6"/>
      <c r="HB15" s="10">
        <f t="shared" si="70"/>
        <v>1.904761904761898</v>
      </c>
      <c r="HC15" s="6"/>
      <c r="HD15" s="10">
        <f t="shared" si="76"/>
        <v>80.515873015873012</v>
      </c>
      <c r="HE15" s="10">
        <f t="shared" si="71"/>
        <v>82.42063492063491</v>
      </c>
      <c r="HF15" s="10"/>
      <c r="HH15" s="10"/>
    </row>
    <row r="16" spans="1:216" ht="15.75" customHeight="1">
      <c r="A16" s="1" t="s">
        <v>223</v>
      </c>
      <c r="B16" s="10">
        <v>18</v>
      </c>
      <c r="C16" s="1" t="s">
        <v>203</v>
      </c>
      <c r="D16" s="10">
        <v>81</v>
      </c>
      <c r="E16" s="10">
        <v>191</v>
      </c>
      <c r="F16" s="10">
        <v>111</v>
      </c>
      <c r="G16" s="1" t="s">
        <v>204</v>
      </c>
      <c r="H16" s="1" t="s">
        <v>205</v>
      </c>
      <c r="I16" s="1" t="s">
        <v>204</v>
      </c>
      <c r="J16" s="1" t="s">
        <v>204</v>
      </c>
      <c r="K16" s="10">
        <v>9</v>
      </c>
      <c r="L16" s="1" t="s">
        <v>206</v>
      </c>
      <c r="M16" s="1" t="s">
        <v>207</v>
      </c>
      <c r="N16" s="1">
        <v>67.900000000000006</v>
      </c>
      <c r="O16" s="1">
        <v>72.900000000000006</v>
      </c>
      <c r="P16" s="10">
        <v>69</v>
      </c>
      <c r="Q16" s="6">
        <f t="shared" si="0"/>
        <v>69.933333333333337</v>
      </c>
      <c r="R16" s="10">
        <v>58</v>
      </c>
      <c r="S16" s="1">
        <v>68.7</v>
      </c>
      <c r="T16" s="1">
        <v>67.900000000000006</v>
      </c>
      <c r="U16" s="6">
        <f t="shared" si="1"/>
        <v>64.866666666666674</v>
      </c>
      <c r="V16" s="1">
        <v>141.4</v>
      </c>
      <c r="W16" s="1">
        <v>140.19999999999999</v>
      </c>
      <c r="X16" s="1">
        <v>143.30000000000001</v>
      </c>
      <c r="Y16" s="6">
        <f t="shared" si="2"/>
        <v>141.63333333333335</v>
      </c>
      <c r="Z16" s="1">
        <v>144.6</v>
      </c>
      <c r="AA16" s="1">
        <v>135.1</v>
      </c>
      <c r="AB16" s="1">
        <v>134.6</v>
      </c>
      <c r="AC16" s="6">
        <f t="shared" si="3"/>
        <v>138.1</v>
      </c>
      <c r="AD16" s="10">
        <v>0</v>
      </c>
      <c r="AE16" s="10">
        <v>3</v>
      </c>
      <c r="AF16" s="10">
        <v>1</v>
      </c>
      <c r="AG16" s="10">
        <v>0</v>
      </c>
      <c r="AH16" s="10">
        <v>5</v>
      </c>
      <c r="AI16" s="10">
        <v>0</v>
      </c>
      <c r="AJ16" s="10">
        <f t="shared" si="4"/>
        <v>9</v>
      </c>
      <c r="AK16" s="10">
        <v>97</v>
      </c>
      <c r="AL16" s="10">
        <v>103</v>
      </c>
      <c r="AM16" s="10">
        <v>104</v>
      </c>
      <c r="AN16" s="10">
        <f t="shared" si="5"/>
        <v>101.33333333333333</v>
      </c>
      <c r="AO16" s="10">
        <f t="shared" si="6"/>
        <v>91.291291291291287</v>
      </c>
      <c r="AP16" s="10">
        <v>106</v>
      </c>
      <c r="AQ16" s="1">
        <v>107.5</v>
      </c>
      <c r="AR16" s="1">
        <v>111.5</v>
      </c>
      <c r="AS16" s="6">
        <f t="shared" si="7"/>
        <v>108.33333333333333</v>
      </c>
      <c r="AT16" s="6">
        <f t="shared" si="8"/>
        <v>97.597597597597598</v>
      </c>
      <c r="AU16" s="1">
        <v>90.5</v>
      </c>
      <c r="AV16" s="10">
        <v>96</v>
      </c>
      <c r="AW16" s="10">
        <v>98</v>
      </c>
      <c r="AX16" s="6">
        <f t="shared" si="9"/>
        <v>94.833333333333329</v>
      </c>
      <c r="AY16" s="6">
        <f t="shared" si="10"/>
        <v>85.435435435435437</v>
      </c>
      <c r="AZ16" s="10">
        <v>61</v>
      </c>
      <c r="BA16" s="10">
        <v>76</v>
      </c>
      <c r="BB16" s="10">
        <v>82</v>
      </c>
      <c r="BC16" s="6">
        <f t="shared" si="11"/>
        <v>73</v>
      </c>
      <c r="BD16" s="10">
        <f t="shared" si="12"/>
        <v>65.765765765765778</v>
      </c>
      <c r="BE16" s="10">
        <v>86</v>
      </c>
      <c r="BF16" s="10">
        <v>88</v>
      </c>
      <c r="BG16" s="1">
        <v>93.5</v>
      </c>
      <c r="BH16" s="10">
        <f t="shared" si="13"/>
        <v>73</v>
      </c>
      <c r="BI16" s="10">
        <f t="shared" si="14"/>
        <v>65.765765765765778</v>
      </c>
      <c r="BJ16" s="10">
        <v>60</v>
      </c>
      <c r="BK16" s="10">
        <v>52</v>
      </c>
      <c r="BL16" s="10">
        <v>52</v>
      </c>
      <c r="BM16" s="10">
        <f t="shared" si="15"/>
        <v>54.666666666666664</v>
      </c>
      <c r="BN16" s="10">
        <f t="shared" si="16"/>
        <v>49.249249249249246</v>
      </c>
      <c r="BO16" s="1">
        <v>91.5</v>
      </c>
      <c r="BP16" s="10">
        <v>96</v>
      </c>
      <c r="BQ16" s="1">
        <v>102.5</v>
      </c>
      <c r="BR16" s="1">
        <f t="shared" si="17"/>
        <v>96.666666666666671</v>
      </c>
      <c r="BS16" s="1">
        <f t="shared" si="18"/>
        <v>87.087087087087085</v>
      </c>
      <c r="BT16" s="10">
        <v>76</v>
      </c>
      <c r="BU16" s="10">
        <v>83</v>
      </c>
      <c r="BV16" s="10">
        <v>90</v>
      </c>
      <c r="BW16" s="10">
        <f t="shared" si="19"/>
        <v>83</v>
      </c>
      <c r="BX16" s="10">
        <f t="shared" si="20"/>
        <v>74.774774774774784</v>
      </c>
      <c r="BY16" s="10">
        <v>66</v>
      </c>
      <c r="BZ16" s="1">
        <v>66.5</v>
      </c>
      <c r="CA16" s="10">
        <v>67</v>
      </c>
      <c r="CB16" s="10">
        <f t="shared" si="21"/>
        <v>66.5</v>
      </c>
      <c r="CC16" s="10">
        <f t="shared" si="22"/>
        <v>59.909909909909906</v>
      </c>
      <c r="CD16" s="10">
        <v>76</v>
      </c>
      <c r="CE16" s="10">
        <v>77</v>
      </c>
      <c r="CF16" s="10">
        <v>80</v>
      </c>
      <c r="CG16" s="1">
        <f t="shared" si="23"/>
        <v>77.666666666666671</v>
      </c>
      <c r="CH16" s="1">
        <f t="shared" si="24"/>
        <v>69.969969969969966</v>
      </c>
      <c r="CI16" s="1">
        <v>90.5</v>
      </c>
      <c r="CJ16" s="1">
        <v>101.5</v>
      </c>
      <c r="CK16" s="1">
        <v>101.5</v>
      </c>
      <c r="CL16" s="10">
        <f t="shared" si="25"/>
        <v>97.833333333333329</v>
      </c>
      <c r="CM16" s="10">
        <f t="shared" si="26"/>
        <v>88.138138138138132</v>
      </c>
      <c r="CN16" s="10">
        <v>94</v>
      </c>
      <c r="CO16" s="10">
        <v>104</v>
      </c>
      <c r="CP16" s="10">
        <v>111</v>
      </c>
      <c r="CQ16" s="1">
        <f t="shared" si="27"/>
        <v>103</v>
      </c>
      <c r="CR16" s="1">
        <f t="shared" si="28"/>
        <v>92.792792792792795</v>
      </c>
      <c r="CS16" s="10">
        <v>94</v>
      </c>
      <c r="CT16" s="10">
        <v>103</v>
      </c>
      <c r="CU16" s="10">
        <v>104</v>
      </c>
      <c r="CV16" s="10">
        <f t="shared" si="29"/>
        <v>100.33333333333333</v>
      </c>
      <c r="CW16" s="10">
        <f t="shared" si="30"/>
        <v>90.39039039039038</v>
      </c>
      <c r="CX16" s="10">
        <v>103</v>
      </c>
      <c r="CY16" s="10">
        <v>109</v>
      </c>
      <c r="CZ16" s="10">
        <v>113</v>
      </c>
      <c r="DA16" s="10">
        <f t="shared" si="31"/>
        <v>108.33333333333333</v>
      </c>
      <c r="DB16" s="10">
        <f t="shared" si="32"/>
        <v>97.597597597597598</v>
      </c>
      <c r="DC16" s="10">
        <v>95</v>
      </c>
      <c r="DD16" s="10">
        <v>100</v>
      </c>
      <c r="DE16" s="10">
        <v>101</v>
      </c>
      <c r="DF16" s="1">
        <f t="shared" si="33"/>
        <v>98.666666666666671</v>
      </c>
      <c r="DG16" s="1">
        <f t="shared" si="34"/>
        <v>88.8888888888889</v>
      </c>
      <c r="DH16" s="10">
        <v>96</v>
      </c>
      <c r="DI16" s="10">
        <v>97</v>
      </c>
      <c r="DJ16" s="10">
        <v>102</v>
      </c>
      <c r="DK16" s="10">
        <f t="shared" si="35"/>
        <v>98.333333333333329</v>
      </c>
      <c r="DL16" s="10">
        <f t="shared" si="36"/>
        <v>88.588588588588578</v>
      </c>
      <c r="DM16" s="10">
        <v>116</v>
      </c>
      <c r="DN16" s="10">
        <v>120</v>
      </c>
      <c r="DO16" s="10">
        <v>121</v>
      </c>
      <c r="DP16" s="6">
        <f t="shared" si="37"/>
        <v>119</v>
      </c>
      <c r="DQ16" s="10">
        <f t="shared" si="38"/>
        <v>107.2072072072072</v>
      </c>
      <c r="DR16" s="10">
        <v>108</v>
      </c>
      <c r="DS16" s="10">
        <v>114</v>
      </c>
      <c r="DT16" s="10">
        <v>117</v>
      </c>
      <c r="DU16" s="6">
        <f t="shared" si="39"/>
        <v>113</v>
      </c>
      <c r="DV16" s="1">
        <f t="shared" si="40"/>
        <v>101.8018018018018</v>
      </c>
      <c r="DW16" s="1">
        <v>76.5</v>
      </c>
      <c r="DX16" s="10">
        <v>80</v>
      </c>
      <c r="DY16" s="10">
        <v>88</v>
      </c>
      <c r="DZ16" s="6">
        <f t="shared" si="41"/>
        <v>81.5</v>
      </c>
      <c r="EA16" s="6">
        <f t="shared" si="42"/>
        <v>73.423423423423429</v>
      </c>
      <c r="EB16" s="10">
        <v>84</v>
      </c>
      <c r="EC16" s="10">
        <v>86</v>
      </c>
      <c r="ED16" s="10">
        <v>96</v>
      </c>
      <c r="EE16" s="6">
        <f t="shared" si="43"/>
        <v>88.666666666666671</v>
      </c>
      <c r="EF16" s="6">
        <f t="shared" si="44"/>
        <v>79.879879879879894</v>
      </c>
      <c r="EG16" s="10">
        <v>98</v>
      </c>
      <c r="EH16" s="10">
        <v>98</v>
      </c>
      <c r="EI16" s="10">
        <v>102</v>
      </c>
      <c r="EJ16" s="6">
        <f t="shared" si="45"/>
        <v>99.333333333333329</v>
      </c>
      <c r="EK16" s="6">
        <f t="shared" si="46"/>
        <v>89.489489489489486</v>
      </c>
      <c r="EL16" s="10">
        <v>62</v>
      </c>
      <c r="EM16" s="10">
        <v>65</v>
      </c>
      <c r="EN16" s="1">
        <v>69.5</v>
      </c>
      <c r="EO16" s="6">
        <f t="shared" si="47"/>
        <v>65.5</v>
      </c>
      <c r="EP16" s="6">
        <f t="shared" si="48"/>
        <v>59.009009009009006</v>
      </c>
      <c r="EQ16" s="10">
        <v>89</v>
      </c>
      <c r="ER16" s="1">
        <v>93.5</v>
      </c>
      <c r="ES16" s="1">
        <v>97.5</v>
      </c>
      <c r="ET16" s="6">
        <f t="shared" si="49"/>
        <v>93.333333333333329</v>
      </c>
      <c r="EU16" s="6">
        <f t="shared" si="50"/>
        <v>84.084084084084083</v>
      </c>
      <c r="EV16" s="10">
        <v>86</v>
      </c>
      <c r="EW16" s="10">
        <v>92</v>
      </c>
      <c r="EX16" s="10">
        <v>92</v>
      </c>
      <c r="EY16" s="6">
        <f t="shared" si="51"/>
        <v>90</v>
      </c>
      <c r="EZ16" s="6">
        <f t="shared" si="52"/>
        <v>81.081081081081081</v>
      </c>
      <c r="FA16" s="10">
        <v>68</v>
      </c>
      <c r="FB16" s="10">
        <v>69</v>
      </c>
      <c r="FC16" s="10">
        <v>70</v>
      </c>
      <c r="FD16" s="6">
        <f t="shared" si="53"/>
        <v>69</v>
      </c>
      <c r="FE16" s="6">
        <f t="shared" si="54"/>
        <v>62.162162162162161</v>
      </c>
      <c r="FF16" s="10">
        <v>76</v>
      </c>
      <c r="FG16" s="10">
        <v>75</v>
      </c>
      <c r="FH16" s="10">
        <v>78</v>
      </c>
      <c r="FI16" s="6">
        <f t="shared" si="55"/>
        <v>76.333333333333329</v>
      </c>
      <c r="FJ16" s="6">
        <f t="shared" si="56"/>
        <v>68.768768768768766</v>
      </c>
      <c r="FK16" s="10">
        <v>90</v>
      </c>
      <c r="FL16" s="10">
        <v>92</v>
      </c>
      <c r="FM16" s="10">
        <v>94</v>
      </c>
      <c r="FN16" s="6">
        <f t="shared" si="57"/>
        <v>92</v>
      </c>
      <c r="FO16" s="6">
        <f t="shared" si="58"/>
        <v>82.882882882882882</v>
      </c>
      <c r="FP16" s="10">
        <v>96</v>
      </c>
      <c r="FQ16" s="10">
        <v>98</v>
      </c>
      <c r="FR16" s="10">
        <v>105</v>
      </c>
      <c r="FS16" s="6">
        <f t="shared" si="59"/>
        <v>99.666666666666671</v>
      </c>
      <c r="FT16" s="6">
        <f t="shared" si="60"/>
        <v>89.789789789789793</v>
      </c>
      <c r="FU16" s="10">
        <v>98</v>
      </c>
      <c r="FV16" s="10">
        <v>90</v>
      </c>
      <c r="FW16" s="10">
        <v>93</v>
      </c>
      <c r="FX16" s="6">
        <f t="shared" si="61"/>
        <v>93.666666666666671</v>
      </c>
      <c r="FY16" s="6">
        <f t="shared" si="62"/>
        <v>84.38438438438439</v>
      </c>
      <c r="FZ16" s="1">
        <v>99.5</v>
      </c>
      <c r="GA16" s="1">
        <v>108.5</v>
      </c>
      <c r="GB16" s="10">
        <v>109</v>
      </c>
      <c r="GC16" s="6">
        <f t="shared" si="63"/>
        <v>105.66666666666667</v>
      </c>
      <c r="GD16" s="6">
        <f t="shared" si="64"/>
        <v>95.195195195195197</v>
      </c>
      <c r="GE16" s="10">
        <v>86</v>
      </c>
      <c r="GF16" s="10">
        <v>86</v>
      </c>
      <c r="GG16" s="1">
        <v>90.5</v>
      </c>
      <c r="GH16" s="6">
        <f t="shared" si="65"/>
        <v>87.5</v>
      </c>
      <c r="GI16" s="6">
        <f t="shared" si="66"/>
        <v>78.828828828828833</v>
      </c>
      <c r="GJ16" s="10">
        <v>95</v>
      </c>
      <c r="GK16" s="10">
        <v>104</v>
      </c>
      <c r="GL16" s="10">
        <v>111</v>
      </c>
      <c r="GM16" s="6">
        <f t="shared" si="67"/>
        <v>103.33333333333333</v>
      </c>
      <c r="GN16" s="6">
        <f t="shared" si="68"/>
        <v>93.093093093093088</v>
      </c>
      <c r="GO16" s="10">
        <v>82.25</v>
      </c>
      <c r="GP16" s="15" t="s">
        <v>222</v>
      </c>
      <c r="GQ16" s="6"/>
      <c r="GR16" s="12"/>
      <c r="GS16" s="12">
        <f t="shared" si="72"/>
        <v>85.919409362874774</v>
      </c>
      <c r="GU16" s="12">
        <f t="shared" si="73"/>
        <v>82.113363363363362</v>
      </c>
      <c r="GV16" s="12">
        <f t="shared" si="69"/>
        <v>79.542042042042041</v>
      </c>
      <c r="GW16" s="12">
        <f t="shared" si="74"/>
        <v>2.5713213213213209</v>
      </c>
      <c r="GX16" s="12"/>
      <c r="GY16" s="12"/>
      <c r="GZ16" s="13">
        <f t="shared" si="75"/>
        <v>85.919409362874774</v>
      </c>
      <c r="HA16" s="6"/>
      <c r="HB16" s="10">
        <f t="shared" si="70"/>
        <v>0.7695195195195339</v>
      </c>
      <c r="HC16" s="6"/>
      <c r="HD16" s="10">
        <f t="shared" si="76"/>
        <v>82.807807807807805</v>
      </c>
      <c r="HE16" s="10">
        <f t="shared" si="71"/>
        <v>83.577327327327339</v>
      </c>
      <c r="HF16" s="10"/>
      <c r="HH16" s="10"/>
    </row>
    <row r="17" spans="1:216" ht="15.75" customHeight="1">
      <c r="A17" s="1" t="s">
        <v>224</v>
      </c>
      <c r="B17" s="10">
        <v>16</v>
      </c>
      <c r="C17" s="1" t="s">
        <v>203</v>
      </c>
      <c r="D17" s="10">
        <v>70</v>
      </c>
      <c r="E17" s="10">
        <v>182</v>
      </c>
      <c r="F17" s="10">
        <v>101</v>
      </c>
      <c r="G17" s="1" t="s">
        <v>204</v>
      </c>
      <c r="H17" s="1" t="s">
        <v>205</v>
      </c>
      <c r="I17" s="1" t="s">
        <v>204</v>
      </c>
      <c r="J17" s="1" t="s">
        <v>204</v>
      </c>
      <c r="K17" s="10">
        <v>11</v>
      </c>
      <c r="L17" s="1" t="s">
        <v>206</v>
      </c>
      <c r="M17" s="1" t="s">
        <v>207</v>
      </c>
      <c r="N17" s="1">
        <v>76.3</v>
      </c>
      <c r="O17" s="10">
        <v>66</v>
      </c>
      <c r="P17" s="1">
        <v>69.599999999999994</v>
      </c>
      <c r="Q17" s="6">
        <f t="shared" si="0"/>
        <v>70.63333333333334</v>
      </c>
      <c r="R17" s="1">
        <v>78.5</v>
      </c>
      <c r="S17" s="1">
        <v>72.099999999999994</v>
      </c>
      <c r="T17" s="1">
        <v>75.5</v>
      </c>
      <c r="U17" s="6">
        <f t="shared" si="1"/>
        <v>75.36666666666666</v>
      </c>
      <c r="V17" s="1">
        <v>136.6</v>
      </c>
      <c r="W17" s="1">
        <v>135.9</v>
      </c>
      <c r="X17" s="1">
        <v>138.69999999999999</v>
      </c>
      <c r="Y17" s="6">
        <f t="shared" si="2"/>
        <v>137.06666666666666</v>
      </c>
      <c r="Z17" s="1">
        <v>149.9</v>
      </c>
      <c r="AA17" s="1">
        <v>134.9</v>
      </c>
      <c r="AB17" s="1">
        <v>134.30000000000001</v>
      </c>
      <c r="AC17" s="6">
        <f t="shared" si="3"/>
        <v>139.70000000000002</v>
      </c>
      <c r="AD17" s="10">
        <v>0</v>
      </c>
      <c r="AE17" s="10">
        <v>2</v>
      </c>
      <c r="AF17" s="10">
        <v>1</v>
      </c>
      <c r="AG17" s="10">
        <v>0</v>
      </c>
      <c r="AH17" s="10">
        <v>4</v>
      </c>
      <c r="AI17" s="10">
        <v>2</v>
      </c>
      <c r="AJ17" s="10">
        <f t="shared" si="4"/>
        <v>9</v>
      </c>
      <c r="AK17" s="10">
        <v>93</v>
      </c>
      <c r="AL17" s="1">
        <v>99.5</v>
      </c>
      <c r="AM17" s="1">
        <v>100.5</v>
      </c>
      <c r="AN17" s="10">
        <f t="shared" si="5"/>
        <v>97.666666666666671</v>
      </c>
      <c r="AO17" s="10">
        <f t="shared" si="6"/>
        <v>96.699669966996709</v>
      </c>
      <c r="AP17" s="1">
        <v>90.5</v>
      </c>
      <c r="AQ17" s="10">
        <v>98</v>
      </c>
      <c r="AR17" s="10">
        <v>99</v>
      </c>
      <c r="AS17" s="6">
        <f t="shared" si="7"/>
        <v>95.833333333333329</v>
      </c>
      <c r="AT17" s="6">
        <f t="shared" si="8"/>
        <v>94.884488448844877</v>
      </c>
      <c r="AU17" s="1">
        <v>86.5</v>
      </c>
      <c r="AV17" s="10">
        <v>88</v>
      </c>
      <c r="AW17" s="10">
        <v>88</v>
      </c>
      <c r="AX17" s="6">
        <f t="shared" si="9"/>
        <v>87.5</v>
      </c>
      <c r="AY17" s="6">
        <f t="shared" si="10"/>
        <v>86.633663366336634</v>
      </c>
      <c r="AZ17" s="1">
        <v>70.5</v>
      </c>
      <c r="BA17" s="10">
        <v>73</v>
      </c>
      <c r="BB17" s="1">
        <v>74.5</v>
      </c>
      <c r="BC17" s="6">
        <f t="shared" si="11"/>
        <v>72.666666666666671</v>
      </c>
      <c r="BD17" s="10">
        <f t="shared" si="12"/>
        <v>71.947194719471952</v>
      </c>
      <c r="BE17" s="1">
        <v>91.5</v>
      </c>
      <c r="BF17" s="10">
        <v>94</v>
      </c>
      <c r="BG17" s="1">
        <v>95.5</v>
      </c>
      <c r="BH17" s="10">
        <f t="shared" si="13"/>
        <v>72.666666666666671</v>
      </c>
      <c r="BI17" s="10">
        <f t="shared" si="14"/>
        <v>71.947194719471952</v>
      </c>
      <c r="BJ17" s="1">
        <v>80.5</v>
      </c>
      <c r="BK17" s="1">
        <v>87.5</v>
      </c>
      <c r="BL17" s="10">
        <v>87</v>
      </c>
      <c r="BM17" s="10">
        <f t="shared" si="15"/>
        <v>85</v>
      </c>
      <c r="BN17" s="10">
        <f t="shared" si="16"/>
        <v>84.158415841584159</v>
      </c>
      <c r="BO17" s="10">
        <v>96</v>
      </c>
      <c r="BP17" s="10">
        <v>98</v>
      </c>
      <c r="BQ17" s="10">
        <v>98</v>
      </c>
      <c r="BR17" s="1">
        <f t="shared" si="17"/>
        <v>97.333333333333329</v>
      </c>
      <c r="BS17" s="1">
        <f t="shared" si="18"/>
        <v>96.369636963696365</v>
      </c>
      <c r="BT17" s="1">
        <v>95.5</v>
      </c>
      <c r="BU17" s="1">
        <v>95.5</v>
      </c>
      <c r="BV17" s="1">
        <v>98.5</v>
      </c>
      <c r="BW17" s="10">
        <f t="shared" si="19"/>
        <v>96.5</v>
      </c>
      <c r="BX17" s="10">
        <f t="shared" si="20"/>
        <v>95.544554455445535</v>
      </c>
      <c r="BY17" s="1">
        <v>95.5</v>
      </c>
      <c r="BZ17" s="10">
        <v>97</v>
      </c>
      <c r="CA17" s="10">
        <v>97</v>
      </c>
      <c r="CB17" s="10">
        <f t="shared" si="21"/>
        <v>96.5</v>
      </c>
      <c r="CC17" s="10">
        <f t="shared" si="22"/>
        <v>95.544554455445535</v>
      </c>
      <c r="CD17" s="10">
        <v>91</v>
      </c>
      <c r="CE17" s="10">
        <v>93</v>
      </c>
      <c r="CF17" s="1">
        <v>98.5</v>
      </c>
      <c r="CG17" s="1">
        <f t="shared" si="23"/>
        <v>94.166666666666671</v>
      </c>
      <c r="CH17" s="1">
        <f t="shared" si="24"/>
        <v>93.234323432343231</v>
      </c>
      <c r="CI17" s="10">
        <v>96</v>
      </c>
      <c r="CJ17" s="10">
        <v>101</v>
      </c>
      <c r="CK17" s="10">
        <v>104</v>
      </c>
      <c r="CL17" s="10">
        <f t="shared" si="25"/>
        <v>100.33333333333333</v>
      </c>
      <c r="CM17" s="10">
        <f t="shared" si="26"/>
        <v>99.339933993399328</v>
      </c>
      <c r="CN17" s="1">
        <v>99.5</v>
      </c>
      <c r="CO17" s="10">
        <v>100</v>
      </c>
      <c r="CP17" s="10">
        <v>104</v>
      </c>
      <c r="CQ17" s="1">
        <f t="shared" si="27"/>
        <v>101.16666666666667</v>
      </c>
      <c r="CR17" s="1">
        <f t="shared" si="28"/>
        <v>100.16501650165017</v>
      </c>
      <c r="CS17" s="10">
        <v>86</v>
      </c>
      <c r="CT17" s="10">
        <v>88</v>
      </c>
      <c r="CU17" s="10">
        <v>93</v>
      </c>
      <c r="CV17" s="10">
        <f t="shared" si="29"/>
        <v>89</v>
      </c>
      <c r="CW17" s="10">
        <f t="shared" si="30"/>
        <v>88.118811881188122</v>
      </c>
      <c r="CX17" s="10">
        <v>95</v>
      </c>
      <c r="CY17" s="1">
        <v>96.5</v>
      </c>
      <c r="CZ17" s="1">
        <v>98.5</v>
      </c>
      <c r="DA17" s="10">
        <f t="shared" si="31"/>
        <v>96.666666666666671</v>
      </c>
      <c r="DB17" s="10">
        <f t="shared" si="32"/>
        <v>95.709570957095707</v>
      </c>
      <c r="DC17" s="10">
        <v>75</v>
      </c>
      <c r="DD17" s="10">
        <v>77</v>
      </c>
      <c r="DE17" s="10">
        <v>78</v>
      </c>
      <c r="DF17" s="1">
        <f t="shared" si="33"/>
        <v>76.666666666666671</v>
      </c>
      <c r="DG17" s="1">
        <f t="shared" si="34"/>
        <v>75.907590759075916</v>
      </c>
      <c r="DH17" s="10">
        <v>89</v>
      </c>
      <c r="DI17" s="1">
        <v>90.5</v>
      </c>
      <c r="DJ17" s="10">
        <v>90</v>
      </c>
      <c r="DK17" s="10">
        <f t="shared" si="35"/>
        <v>89.833333333333329</v>
      </c>
      <c r="DL17" s="10">
        <f t="shared" si="36"/>
        <v>88.943894389438938</v>
      </c>
      <c r="DM17" s="10">
        <v>100</v>
      </c>
      <c r="DN17" s="1">
        <v>102.5</v>
      </c>
      <c r="DO17" s="1">
        <v>102.5</v>
      </c>
      <c r="DP17" s="6">
        <f t="shared" si="37"/>
        <v>101.66666666666667</v>
      </c>
      <c r="DQ17" s="10">
        <f t="shared" si="38"/>
        <v>100.66006600660067</v>
      </c>
      <c r="DR17" s="10">
        <v>97</v>
      </c>
      <c r="DS17" s="10">
        <v>98</v>
      </c>
      <c r="DT17" s="1">
        <v>100.5</v>
      </c>
      <c r="DU17" s="6">
        <f t="shared" si="39"/>
        <v>98.5</v>
      </c>
      <c r="DV17" s="1">
        <f t="shared" si="40"/>
        <v>97.524752475247524</v>
      </c>
      <c r="DW17" s="10">
        <v>87</v>
      </c>
      <c r="DX17" s="10">
        <v>87</v>
      </c>
      <c r="DY17" s="10">
        <v>89</v>
      </c>
      <c r="DZ17" s="6">
        <f t="shared" si="41"/>
        <v>87.666666666666671</v>
      </c>
      <c r="EA17" s="6">
        <f t="shared" si="42"/>
        <v>86.798679867986806</v>
      </c>
      <c r="EB17" s="1">
        <v>73.5</v>
      </c>
      <c r="EC17" s="1">
        <v>73.5</v>
      </c>
      <c r="ED17" s="1">
        <v>73.5</v>
      </c>
      <c r="EE17" s="6">
        <f t="shared" si="43"/>
        <v>73.5</v>
      </c>
      <c r="EF17" s="6">
        <f t="shared" si="44"/>
        <v>72.772277227722768</v>
      </c>
      <c r="EG17" s="10">
        <v>89</v>
      </c>
      <c r="EH17" s="1">
        <v>91.5</v>
      </c>
      <c r="EI17" s="1">
        <v>92.5</v>
      </c>
      <c r="EJ17" s="6">
        <f t="shared" si="45"/>
        <v>91</v>
      </c>
      <c r="EK17" s="6">
        <f t="shared" si="46"/>
        <v>90.099009900990097</v>
      </c>
      <c r="EL17" s="1">
        <v>82.5</v>
      </c>
      <c r="EM17" s="10">
        <v>84</v>
      </c>
      <c r="EN17" s="10">
        <v>86</v>
      </c>
      <c r="EO17" s="6">
        <f t="shared" si="47"/>
        <v>84.166666666666671</v>
      </c>
      <c r="EP17" s="6">
        <f t="shared" si="48"/>
        <v>83.333333333333343</v>
      </c>
      <c r="EQ17" s="1">
        <v>96.5</v>
      </c>
      <c r="ER17" s="10">
        <v>99</v>
      </c>
      <c r="ES17" s="10">
        <v>99</v>
      </c>
      <c r="ET17" s="6">
        <f t="shared" si="49"/>
        <v>98.166666666666671</v>
      </c>
      <c r="EU17" s="6">
        <f t="shared" si="50"/>
        <v>97.194719471947195</v>
      </c>
      <c r="EV17" s="1">
        <v>79.5</v>
      </c>
      <c r="EW17" s="10">
        <v>92</v>
      </c>
      <c r="EX17" s="1">
        <v>95.5</v>
      </c>
      <c r="EY17" s="6">
        <f t="shared" si="51"/>
        <v>89</v>
      </c>
      <c r="EZ17" s="6">
        <f t="shared" si="52"/>
        <v>88.118811881188122</v>
      </c>
      <c r="FA17" s="10">
        <v>89</v>
      </c>
      <c r="FB17" s="10">
        <v>89</v>
      </c>
      <c r="FC17" s="10">
        <v>87</v>
      </c>
      <c r="FD17" s="6">
        <f t="shared" si="53"/>
        <v>88.333333333333329</v>
      </c>
      <c r="FE17" s="6">
        <f t="shared" si="54"/>
        <v>87.45874587458745</v>
      </c>
      <c r="FF17" s="10">
        <v>89</v>
      </c>
      <c r="FG17" s="10">
        <v>89</v>
      </c>
      <c r="FH17" s="10">
        <v>89</v>
      </c>
      <c r="FI17" s="6">
        <f t="shared" si="55"/>
        <v>89</v>
      </c>
      <c r="FJ17" s="6">
        <f t="shared" si="56"/>
        <v>88.118811881188122</v>
      </c>
      <c r="FK17" s="10">
        <v>97</v>
      </c>
      <c r="FL17" s="10">
        <v>98</v>
      </c>
      <c r="FM17" s="10">
        <v>99</v>
      </c>
      <c r="FN17" s="6">
        <f t="shared" si="57"/>
        <v>98</v>
      </c>
      <c r="FO17" s="6">
        <f t="shared" si="58"/>
        <v>97.029702970297024</v>
      </c>
      <c r="FP17" s="10">
        <v>99</v>
      </c>
      <c r="FQ17" s="10">
        <v>105</v>
      </c>
      <c r="FR17" s="10">
        <v>105</v>
      </c>
      <c r="FS17" s="6">
        <f t="shared" si="59"/>
        <v>103</v>
      </c>
      <c r="FT17" s="6">
        <f t="shared" si="60"/>
        <v>101.98019801980197</v>
      </c>
      <c r="FU17" s="10">
        <v>91</v>
      </c>
      <c r="FV17" s="1">
        <v>91.5</v>
      </c>
      <c r="FW17" s="1">
        <v>91.5</v>
      </c>
      <c r="FX17" s="6">
        <f t="shared" si="61"/>
        <v>91.333333333333329</v>
      </c>
      <c r="FY17" s="6">
        <f t="shared" si="62"/>
        <v>90.429042904290426</v>
      </c>
      <c r="FZ17" s="10">
        <v>96</v>
      </c>
      <c r="GA17" s="10">
        <v>96</v>
      </c>
      <c r="GB17" s="10">
        <v>98</v>
      </c>
      <c r="GC17" s="6">
        <f t="shared" si="63"/>
        <v>96.666666666666671</v>
      </c>
      <c r="GD17" s="6">
        <f t="shared" si="64"/>
        <v>95.709570957095707</v>
      </c>
      <c r="GE17" s="10">
        <v>73</v>
      </c>
      <c r="GF17" s="10">
        <v>74</v>
      </c>
      <c r="GG17" s="10">
        <v>76</v>
      </c>
      <c r="GH17" s="6">
        <f t="shared" si="65"/>
        <v>74.333333333333329</v>
      </c>
      <c r="GI17" s="6">
        <f t="shared" si="66"/>
        <v>73.597359735973583</v>
      </c>
      <c r="GJ17" s="10">
        <v>88</v>
      </c>
      <c r="GK17" s="1">
        <v>89.5</v>
      </c>
      <c r="GL17" s="1">
        <v>90.5</v>
      </c>
      <c r="GM17" s="6">
        <f t="shared" si="67"/>
        <v>89.333333333333329</v>
      </c>
      <c r="GN17" s="6">
        <f t="shared" si="68"/>
        <v>88.448844884488437</v>
      </c>
      <c r="GO17" s="10">
        <v>82.5</v>
      </c>
      <c r="GP17" s="15" t="s">
        <v>222</v>
      </c>
      <c r="GQ17" s="6"/>
      <c r="GR17" s="12"/>
      <c r="GS17" s="12">
        <f t="shared" si="72"/>
        <v>86.382291786526778</v>
      </c>
      <c r="GU17" s="12">
        <f t="shared" si="73"/>
        <v>88.820132013201317</v>
      </c>
      <c r="GV17" s="12">
        <f t="shared" si="69"/>
        <v>90.573432343234316</v>
      </c>
      <c r="GW17" s="12">
        <f t="shared" si="74"/>
        <v>1.7533003300329995</v>
      </c>
      <c r="GX17" s="12"/>
      <c r="GY17" s="12"/>
      <c r="GZ17" s="13">
        <f t="shared" si="75"/>
        <v>86.382291786526778</v>
      </c>
      <c r="HA17" s="6"/>
      <c r="HB17" s="10">
        <f t="shared" si="70"/>
        <v>0.9075907590759158</v>
      </c>
      <c r="HC17" s="6"/>
      <c r="HD17" s="10">
        <f t="shared" si="76"/>
        <v>90.408415841584159</v>
      </c>
      <c r="HE17" s="10">
        <f t="shared" si="71"/>
        <v>89.500825082508243</v>
      </c>
      <c r="HF17" s="10"/>
      <c r="HH17" s="10"/>
    </row>
    <row r="18" spans="1:216" ht="15.75" customHeight="1">
      <c r="A18" s="1" t="s">
        <v>225</v>
      </c>
      <c r="B18" s="10">
        <v>18</v>
      </c>
      <c r="C18" s="1" t="s">
        <v>203</v>
      </c>
      <c r="D18" s="10">
        <v>75</v>
      </c>
      <c r="E18" s="10">
        <v>188</v>
      </c>
      <c r="F18" s="10">
        <v>109</v>
      </c>
      <c r="G18" s="1" t="s">
        <v>204</v>
      </c>
      <c r="H18" s="1" t="s">
        <v>205</v>
      </c>
      <c r="I18" s="1" t="s">
        <v>204</v>
      </c>
      <c r="J18" s="1" t="s">
        <v>204</v>
      </c>
      <c r="K18" s="10">
        <v>8</v>
      </c>
      <c r="L18" s="1" t="s">
        <v>206</v>
      </c>
      <c r="M18" s="1" t="s">
        <v>207</v>
      </c>
      <c r="N18" s="1">
        <v>70.5</v>
      </c>
      <c r="O18" s="1">
        <v>77.8</v>
      </c>
      <c r="P18" s="1">
        <v>85.3</v>
      </c>
      <c r="Q18" s="6">
        <f t="shared" si="0"/>
        <v>77.866666666666674</v>
      </c>
      <c r="R18" s="1">
        <v>74.2</v>
      </c>
      <c r="S18" s="1">
        <v>71.7</v>
      </c>
      <c r="T18" s="1">
        <v>74.2</v>
      </c>
      <c r="U18" s="6">
        <f t="shared" si="1"/>
        <v>73.366666666666674</v>
      </c>
      <c r="V18" s="1">
        <v>141.9</v>
      </c>
      <c r="W18" s="10">
        <v>145</v>
      </c>
      <c r="X18" s="1">
        <v>144.9</v>
      </c>
      <c r="Y18" s="6">
        <f t="shared" si="2"/>
        <v>143.93333333333331</v>
      </c>
      <c r="Z18" s="1">
        <v>149.80000000000001</v>
      </c>
      <c r="AA18" s="1">
        <v>149.80000000000001</v>
      </c>
      <c r="AB18" s="1">
        <v>154.30000000000001</v>
      </c>
      <c r="AC18" s="6">
        <f t="shared" si="3"/>
        <v>151.30000000000001</v>
      </c>
      <c r="AD18" s="10">
        <v>0</v>
      </c>
      <c r="AE18" s="10">
        <v>4</v>
      </c>
      <c r="AF18" s="10">
        <v>1</v>
      </c>
      <c r="AG18" s="10">
        <v>0</v>
      </c>
      <c r="AH18" s="10">
        <v>8</v>
      </c>
      <c r="AI18" s="10">
        <v>2</v>
      </c>
      <c r="AJ18" s="10">
        <f t="shared" si="4"/>
        <v>15</v>
      </c>
      <c r="AK18" s="1">
        <v>100.5</v>
      </c>
      <c r="AL18" s="1">
        <v>102.5</v>
      </c>
      <c r="AM18" s="1">
        <v>106.5</v>
      </c>
      <c r="AN18" s="10">
        <f t="shared" si="5"/>
        <v>103.16666666666667</v>
      </c>
      <c r="AO18" s="10">
        <f t="shared" si="6"/>
        <v>94.648318042813457</v>
      </c>
      <c r="AP18" s="10">
        <v>110</v>
      </c>
      <c r="AQ18" s="10">
        <v>110</v>
      </c>
      <c r="AR18" s="1">
        <v>113.5</v>
      </c>
      <c r="AS18" s="6">
        <f t="shared" si="7"/>
        <v>111.16666666666667</v>
      </c>
      <c r="AT18" s="6">
        <f t="shared" si="8"/>
        <v>101.98776758409787</v>
      </c>
      <c r="AU18" s="1">
        <v>83.5</v>
      </c>
      <c r="AV18" s="10">
        <v>88</v>
      </c>
      <c r="AW18" s="1">
        <v>92.5</v>
      </c>
      <c r="AX18" s="6">
        <f t="shared" si="9"/>
        <v>88</v>
      </c>
      <c r="AY18" s="6">
        <f t="shared" si="10"/>
        <v>80.733944954128447</v>
      </c>
      <c r="AZ18" s="10">
        <v>88</v>
      </c>
      <c r="BA18" s="1">
        <v>81.5</v>
      </c>
      <c r="BB18" s="1">
        <v>81.5</v>
      </c>
      <c r="BC18" s="6">
        <f t="shared" si="11"/>
        <v>83.666666666666671</v>
      </c>
      <c r="BD18" s="10">
        <f t="shared" si="12"/>
        <v>76.758409785932727</v>
      </c>
      <c r="BE18" s="10">
        <v>97</v>
      </c>
      <c r="BF18" s="10">
        <v>98</v>
      </c>
      <c r="BG18" s="1">
        <v>99.5</v>
      </c>
      <c r="BH18" s="10">
        <f t="shared" si="13"/>
        <v>83.666666666666671</v>
      </c>
      <c r="BI18" s="10">
        <f t="shared" si="14"/>
        <v>76.758409785932727</v>
      </c>
      <c r="BJ18" s="1">
        <v>88.5</v>
      </c>
      <c r="BK18" s="1">
        <v>89.5</v>
      </c>
      <c r="BL18" s="1">
        <v>89.5</v>
      </c>
      <c r="BM18" s="10">
        <f t="shared" si="15"/>
        <v>89.166666666666671</v>
      </c>
      <c r="BN18" s="10">
        <f t="shared" si="16"/>
        <v>81.804281345565755</v>
      </c>
      <c r="BO18" s="1">
        <v>105.5</v>
      </c>
      <c r="BP18" s="1">
        <v>105.5</v>
      </c>
      <c r="BQ18" s="1">
        <v>108.5</v>
      </c>
      <c r="BR18" s="1">
        <f t="shared" si="17"/>
        <v>106.5</v>
      </c>
      <c r="BS18" s="1">
        <f t="shared" si="18"/>
        <v>97.706422018348633</v>
      </c>
      <c r="BT18" s="10">
        <v>105</v>
      </c>
      <c r="BU18" s="10">
        <v>105</v>
      </c>
      <c r="BV18" s="10">
        <v>108</v>
      </c>
      <c r="BW18" s="10">
        <f t="shared" si="19"/>
        <v>106</v>
      </c>
      <c r="BX18" s="10">
        <f t="shared" si="20"/>
        <v>97.247706422018354</v>
      </c>
      <c r="BY18" s="10">
        <v>87</v>
      </c>
      <c r="BZ18" s="10">
        <v>96</v>
      </c>
      <c r="CA18" s="10">
        <v>98</v>
      </c>
      <c r="CB18" s="10">
        <f t="shared" si="21"/>
        <v>93.666666666666671</v>
      </c>
      <c r="CC18" s="10">
        <f t="shared" si="22"/>
        <v>85.932721712538225</v>
      </c>
      <c r="CD18" s="10">
        <v>89</v>
      </c>
      <c r="CE18" s="10">
        <v>90</v>
      </c>
      <c r="CF18" s="1">
        <v>90.5</v>
      </c>
      <c r="CG18" s="1">
        <f t="shared" si="23"/>
        <v>89.833333333333329</v>
      </c>
      <c r="CH18" s="1">
        <f t="shared" si="24"/>
        <v>82.415902140672785</v>
      </c>
      <c r="CI18" s="10">
        <v>89</v>
      </c>
      <c r="CJ18" s="10">
        <v>101</v>
      </c>
      <c r="CK18" s="10">
        <v>93</v>
      </c>
      <c r="CL18" s="10">
        <f t="shared" si="25"/>
        <v>94.333333333333329</v>
      </c>
      <c r="CM18" s="10">
        <f t="shared" si="26"/>
        <v>86.544342507645254</v>
      </c>
      <c r="CN18" s="10">
        <v>100</v>
      </c>
      <c r="CO18" s="1">
        <v>101.5</v>
      </c>
      <c r="CP18" s="10">
        <v>103</v>
      </c>
      <c r="CQ18" s="1">
        <f t="shared" si="27"/>
        <v>101.5</v>
      </c>
      <c r="CR18" s="1">
        <f t="shared" si="28"/>
        <v>93.11926605504587</v>
      </c>
      <c r="CS18" s="10">
        <v>92</v>
      </c>
      <c r="CT18" s="10">
        <v>96</v>
      </c>
      <c r="CU18" s="10">
        <v>98</v>
      </c>
      <c r="CV18" s="10">
        <f t="shared" si="29"/>
        <v>95.333333333333329</v>
      </c>
      <c r="CW18" s="10">
        <f t="shared" si="30"/>
        <v>87.461773700305812</v>
      </c>
      <c r="CX18" s="1">
        <v>96.5</v>
      </c>
      <c r="CY18" s="1">
        <v>96.5</v>
      </c>
      <c r="CZ18" s="1">
        <v>96.5</v>
      </c>
      <c r="DA18" s="10">
        <f t="shared" si="31"/>
        <v>96.5</v>
      </c>
      <c r="DB18" s="10">
        <f t="shared" si="32"/>
        <v>88.532110091743121</v>
      </c>
      <c r="DC18" s="10">
        <v>96</v>
      </c>
      <c r="DD18" s="1">
        <v>88.5</v>
      </c>
      <c r="DE18" s="1">
        <v>89.5</v>
      </c>
      <c r="DF18" s="1">
        <f t="shared" si="33"/>
        <v>91.333333333333329</v>
      </c>
      <c r="DG18" s="1">
        <f t="shared" si="34"/>
        <v>83.792048929663608</v>
      </c>
      <c r="DH18" s="1">
        <v>95.5</v>
      </c>
      <c r="DI18" s="1">
        <v>95.5</v>
      </c>
      <c r="DJ18" s="1">
        <v>95.5</v>
      </c>
      <c r="DK18" s="10">
        <f t="shared" si="35"/>
        <v>95.5</v>
      </c>
      <c r="DL18" s="10">
        <f t="shared" si="36"/>
        <v>87.614678899082563</v>
      </c>
      <c r="DM18" s="1">
        <v>102.5</v>
      </c>
      <c r="DN18" s="1">
        <v>102.5</v>
      </c>
      <c r="DO18" s="1">
        <v>105.5</v>
      </c>
      <c r="DP18" s="6">
        <f t="shared" si="37"/>
        <v>103.5</v>
      </c>
      <c r="DQ18" s="10">
        <f t="shared" si="38"/>
        <v>94.954128440366972</v>
      </c>
      <c r="DR18" s="1">
        <v>96.5</v>
      </c>
      <c r="DS18" s="10">
        <v>106</v>
      </c>
      <c r="DT18" s="1">
        <v>105.5</v>
      </c>
      <c r="DU18" s="6">
        <f t="shared" si="39"/>
        <v>102.66666666666667</v>
      </c>
      <c r="DV18" s="1">
        <f t="shared" si="40"/>
        <v>94.189602446483192</v>
      </c>
      <c r="DW18" s="1">
        <v>93.5</v>
      </c>
      <c r="DX18" s="1">
        <v>93.5</v>
      </c>
      <c r="DY18" s="10">
        <v>97</v>
      </c>
      <c r="DZ18" s="6">
        <f t="shared" si="41"/>
        <v>94.666666666666671</v>
      </c>
      <c r="EA18" s="6">
        <f t="shared" si="42"/>
        <v>86.850152905198783</v>
      </c>
      <c r="EB18" s="10">
        <v>80</v>
      </c>
      <c r="EC18" s="10">
        <v>87</v>
      </c>
      <c r="ED18" s="10">
        <v>87</v>
      </c>
      <c r="EE18" s="6">
        <f t="shared" si="43"/>
        <v>84.666666666666671</v>
      </c>
      <c r="EF18" s="6">
        <f t="shared" si="44"/>
        <v>77.675840978593286</v>
      </c>
      <c r="EG18" s="1">
        <v>95.5</v>
      </c>
      <c r="EH18" s="1">
        <v>95.5</v>
      </c>
      <c r="EI18" s="10">
        <v>97</v>
      </c>
      <c r="EJ18" s="6">
        <f t="shared" si="45"/>
        <v>96</v>
      </c>
      <c r="EK18" s="6">
        <f t="shared" si="46"/>
        <v>88.073394495412856</v>
      </c>
      <c r="EL18" s="10">
        <v>88</v>
      </c>
      <c r="EM18" s="10">
        <v>92</v>
      </c>
      <c r="EN18" s="10">
        <v>93</v>
      </c>
      <c r="EO18" s="6">
        <f t="shared" si="47"/>
        <v>91</v>
      </c>
      <c r="EP18" s="6">
        <f t="shared" si="48"/>
        <v>83.486238532110093</v>
      </c>
      <c r="EQ18" s="10">
        <v>96</v>
      </c>
      <c r="ER18" s="10">
        <v>96</v>
      </c>
      <c r="ES18" s="1">
        <v>98.5</v>
      </c>
      <c r="ET18" s="6">
        <f t="shared" si="49"/>
        <v>96.833333333333329</v>
      </c>
      <c r="EU18" s="6">
        <f t="shared" si="50"/>
        <v>88.837920489296636</v>
      </c>
      <c r="EV18" s="1">
        <v>102.5</v>
      </c>
      <c r="EW18" s="1">
        <v>102.5</v>
      </c>
      <c r="EX18" s="1">
        <v>101.5</v>
      </c>
      <c r="EY18" s="6">
        <f t="shared" si="51"/>
        <v>102.16666666666667</v>
      </c>
      <c r="EZ18" s="6">
        <f t="shared" si="52"/>
        <v>93.730886850152899</v>
      </c>
      <c r="FA18" s="10">
        <v>84</v>
      </c>
      <c r="FB18" s="10">
        <v>90</v>
      </c>
      <c r="FC18" s="10">
        <v>92</v>
      </c>
      <c r="FD18" s="6">
        <f t="shared" si="53"/>
        <v>88.666666666666671</v>
      </c>
      <c r="FE18" s="6">
        <f t="shared" si="54"/>
        <v>81.345565749235476</v>
      </c>
      <c r="FF18" s="10">
        <v>90</v>
      </c>
      <c r="FG18" s="10">
        <v>95</v>
      </c>
      <c r="FH18" s="1">
        <v>94.5</v>
      </c>
      <c r="FI18" s="6">
        <f t="shared" si="55"/>
        <v>93.166666666666671</v>
      </c>
      <c r="FJ18" s="6">
        <f t="shared" si="56"/>
        <v>85.47400611620796</v>
      </c>
      <c r="FK18" s="10">
        <v>96</v>
      </c>
      <c r="FL18" s="10">
        <v>99</v>
      </c>
      <c r="FM18" s="10">
        <v>97</v>
      </c>
      <c r="FN18" s="6">
        <f t="shared" si="57"/>
        <v>97.333333333333329</v>
      </c>
      <c r="FO18" s="6">
        <f t="shared" si="58"/>
        <v>89.296636085626901</v>
      </c>
      <c r="FP18" s="1">
        <v>102.5</v>
      </c>
      <c r="FQ18" s="10">
        <v>104</v>
      </c>
      <c r="FR18" s="10">
        <v>110</v>
      </c>
      <c r="FS18" s="6">
        <f t="shared" si="59"/>
        <v>105.5</v>
      </c>
      <c r="FT18" s="6">
        <f t="shared" si="60"/>
        <v>96.788990825688074</v>
      </c>
      <c r="FU18" s="10">
        <v>94</v>
      </c>
      <c r="FV18" s="10">
        <v>97</v>
      </c>
      <c r="FW18" s="10">
        <v>97</v>
      </c>
      <c r="FX18" s="6">
        <f t="shared" si="61"/>
        <v>96</v>
      </c>
      <c r="FY18" s="6">
        <f t="shared" si="62"/>
        <v>88.073394495412856</v>
      </c>
      <c r="FZ18" s="10">
        <v>99</v>
      </c>
      <c r="GA18" s="1">
        <v>100.5</v>
      </c>
      <c r="GB18" s="1">
        <v>100.5</v>
      </c>
      <c r="GC18" s="6">
        <f t="shared" si="63"/>
        <v>100</v>
      </c>
      <c r="GD18" s="6">
        <f t="shared" si="64"/>
        <v>91.743119266055047</v>
      </c>
      <c r="GE18" s="10">
        <v>91</v>
      </c>
      <c r="GF18" s="1">
        <v>82.5</v>
      </c>
      <c r="GG18" s="1">
        <v>88.5</v>
      </c>
      <c r="GH18" s="6">
        <f t="shared" si="65"/>
        <v>87.333333333333329</v>
      </c>
      <c r="GI18" s="6">
        <f t="shared" si="66"/>
        <v>80.122324159021403</v>
      </c>
      <c r="GJ18" s="10">
        <v>91</v>
      </c>
      <c r="GK18" s="10">
        <v>92</v>
      </c>
      <c r="GL18" s="10">
        <v>94</v>
      </c>
      <c r="GM18" s="6">
        <f t="shared" si="67"/>
        <v>92.333333333333329</v>
      </c>
      <c r="GN18" s="6">
        <f t="shared" si="68"/>
        <v>84.709480122324152</v>
      </c>
      <c r="GO18" s="10">
        <v>82.6</v>
      </c>
      <c r="GP18" s="15" t="s">
        <v>222</v>
      </c>
      <c r="GQ18" s="6"/>
      <c r="GR18" s="12"/>
      <c r="GS18" s="12">
        <f t="shared" si="72"/>
        <v>86.050842747357677</v>
      </c>
      <c r="GU18" s="12">
        <f t="shared" si="73"/>
        <v>86.697247706422019</v>
      </c>
      <c r="GV18" s="12">
        <f t="shared" si="69"/>
        <v>88.685015290519871</v>
      </c>
      <c r="GW18" s="12">
        <f t="shared" si="74"/>
        <v>1.9877675840978526</v>
      </c>
      <c r="GX18" s="12"/>
      <c r="GY18" s="12"/>
      <c r="GZ18" s="13">
        <f t="shared" si="75"/>
        <v>86.050842747357677</v>
      </c>
      <c r="HA18" s="6"/>
      <c r="HB18" s="10">
        <f t="shared" si="70"/>
        <v>1.2805810397553472</v>
      </c>
      <c r="HC18" s="6"/>
      <c r="HD18" s="10">
        <f t="shared" si="76"/>
        <v>87.1941896024465</v>
      </c>
      <c r="HE18" s="10">
        <f t="shared" si="71"/>
        <v>88.474770642201847</v>
      </c>
      <c r="HF18" s="10"/>
      <c r="HH18" s="10"/>
    </row>
    <row r="19" spans="1:216" ht="15.75" customHeight="1">
      <c r="A19" s="1" t="s">
        <v>226</v>
      </c>
      <c r="B19" s="10">
        <v>21</v>
      </c>
      <c r="C19" s="1" t="s">
        <v>203</v>
      </c>
      <c r="D19" s="10">
        <v>73</v>
      </c>
      <c r="E19" s="10">
        <v>180</v>
      </c>
      <c r="F19" s="10">
        <v>100</v>
      </c>
      <c r="G19" s="1" t="s">
        <v>204</v>
      </c>
      <c r="H19" s="1" t="s">
        <v>205</v>
      </c>
      <c r="I19" s="1" t="s">
        <v>204</v>
      </c>
      <c r="J19" s="1" t="s">
        <v>204</v>
      </c>
      <c r="K19" s="10">
        <v>9</v>
      </c>
      <c r="L19" s="1" t="s">
        <v>206</v>
      </c>
      <c r="M19" s="1" t="s">
        <v>207</v>
      </c>
      <c r="N19" s="1">
        <v>71.599999999999994</v>
      </c>
      <c r="O19" s="1">
        <v>67.7</v>
      </c>
      <c r="P19" s="1">
        <v>69.099999999999994</v>
      </c>
      <c r="Q19" s="6">
        <f t="shared" si="0"/>
        <v>69.466666666666669</v>
      </c>
      <c r="R19" s="1">
        <v>71.8</v>
      </c>
      <c r="S19" s="1">
        <v>66.8</v>
      </c>
      <c r="T19" s="1">
        <v>65.2</v>
      </c>
      <c r="U19" s="6">
        <f t="shared" si="1"/>
        <v>67.933333333333337</v>
      </c>
      <c r="V19" s="10">
        <v>136</v>
      </c>
      <c r="W19" s="1">
        <v>127.3</v>
      </c>
      <c r="X19" s="1">
        <v>140.9</v>
      </c>
      <c r="Y19" s="6">
        <f t="shared" si="2"/>
        <v>134.73333333333335</v>
      </c>
      <c r="Z19" s="1">
        <v>129.6</v>
      </c>
      <c r="AA19" s="1">
        <v>130.69999999999999</v>
      </c>
      <c r="AB19" s="10">
        <v>136</v>
      </c>
      <c r="AC19" s="6">
        <f t="shared" si="3"/>
        <v>132.1</v>
      </c>
      <c r="AD19" s="10">
        <v>0</v>
      </c>
      <c r="AE19" s="10">
        <v>0</v>
      </c>
      <c r="AF19" s="10">
        <v>6</v>
      </c>
      <c r="AG19" s="10">
        <v>0</v>
      </c>
      <c r="AH19" s="10">
        <v>5</v>
      </c>
      <c r="AI19" s="10">
        <v>2</v>
      </c>
      <c r="AJ19" s="10">
        <f t="shared" si="4"/>
        <v>13</v>
      </c>
      <c r="AK19" s="10">
        <v>89</v>
      </c>
      <c r="AL19" s="10">
        <v>96</v>
      </c>
      <c r="AM19" s="10">
        <v>98</v>
      </c>
      <c r="AN19" s="10">
        <f t="shared" si="5"/>
        <v>94.333333333333329</v>
      </c>
      <c r="AO19" s="10">
        <f t="shared" si="6"/>
        <v>94.333333333333329</v>
      </c>
      <c r="AP19" s="10">
        <v>91</v>
      </c>
      <c r="AQ19" s="10">
        <v>97</v>
      </c>
      <c r="AR19" s="10">
        <v>101</v>
      </c>
      <c r="AS19" s="6">
        <f t="shared" si="7"/>
        <v>96.333333333333329</v>
      </c>
      <c r="AT19" s="6">
        <f t="shared" si="8"/>
        <v>96.333333333333329</v>
      </c>
      <c r="AU19" s="10">
        <v>82</v>
      </c>
      <c r="AV19" s="10">
        <v>87</v>
      </c>
      <c r="AW19" s="1">
        <v>89.5</v>
      </c>
      <c r="AX19" s="6">
        <f t="shared" si="9"/>
        <v>86.166666666666671</v>
      </c>
      <c r="AY19" s="6">
        <f t="shared" si="10"/>
        <v>86.166666666666671</v>
      </c>
      <c r="AZ19" s="1">
        <v>77.5</v>
      </c>
      <c r="BA19" s="1">
        <v>82.5</v>
      </c>
      <c r="BB19" s="10">
        <v>86</v>
      </c>
      <c r="BC19" s="6">
        <f t="shared" si="11"/>
        <v>82</v>
      </c>
      <c r="BD19" s="10">
        <f t="shared" si="12"/>
        <v>82</v>
      </c>
      <c r="BE19" s="10">
        <v>86</v>
      </c>
      <c r="BF19" s="10">
        <v>92</v>
      </c>
      <c r="BG19" s="10">
        <v>96</v>
      </c>
      <c r="BH19" s="10">
        <f t="shared" si="13"/>
        <v>82</v>
      </c>
      <c r="BI19" s="10">
        <f t="shared" si="14"/>
        <v>82</v>
      </c>
      <c r="BJ19" s="10">
        <v>86</v>
      </c>
      <c r="BK19" s="10">
        <v>92</v>
      </c>
      <c r="BL19" s="10">
        <v>96</v>
      </c>
      <c r="BM19" s="10">
        <f t="shared" si="15"/>
        <v>91.333333333333329</v>
      </c>
      <c r="BN19" s="10">
        <f t="shared" si="16"/>
        <v>91.333333333333329</v>
      </c>
      <c r="BO19" s="10">
        <v>71</v>
      </c>
      <c r="BP19" s="10">
        <v>76</v>
      </c>
      <c r="BQ19" s="10">
        <v>84</v>
      </c>
      <c r="BR19" s="1">
        <f t="shared" si="17"/>
        <v>77</v>
      </c>
      <c r="BS19" s="1">
        <f t="shared" si="18"/>
        <v>77</v>
      </c>
      <c r="BT19" s="10">
        <v>92</v>
      </c>
      <c r="BU19" s="10">
        <v>99</v>
      </c>
      <c r="BV19" s="10">
        <v>104</v>
      </c>
      <c r="BW19" s="10">
        <f t="shared" si="19"/>
        <v>98.333333333333329</v>
      </c>
      <c r="BX19" s="10">
        <f t="shared" si="20"/>
        <v>98.333333333333329</v>
      </c>
      <c r="BY19" s="1">
        <v>83.5</v>
      </c>
      <c r="BZ19" s="1">
        <v>88.5</v>
      </c>
      <c r="CA19" s="1">
        <v>97.5</v>
      </c>
      <c r="CB19" s="10">
        <f t="shared" si="21"/>
        <v>89.833333333333329</v>
      </c>
      <c r="CC19" s="10">
        <f t="shared" si="22"/>
        <v>89.833333333333329</v>
      </c>
      <c r="CD19" s="10">
        <v>80</v>
      </c>
      <c r="CE19" s="10">
        <v>83</v>
      </c>
      <c r="CF19" s="10">
        <v>92</v>
      </c>
      <c r="CG19" s="1">
        <f t="shared" si="23"/>
        <v>85</v>
      </c>
      <c r="CH19" s="1">
        <f t="shared" si="24"/>
        <v>85</v>
      </c>
      <c r="CI19" s="1">
        <v>90.5</v>
      </c>
      <c r="CJ19" s="10">
        <v>95</v>
      </c>
      <c r="CK19" s="10">
        <v>96</v>
      </c>
      <c r="CL19" s="10">
        <f t="shared" si="25"/>
        <v>93.833333333333329</v>
      </c>
      <c r="CM19" s="10">
        <f t="shared" si="26"/>
        <v>93.833333333333329</v>
      </c>
      <c r="CN19" s="10">
        <v>94</v>
      </c>
      <c r="CO19" s="10">
        <v>101</v>
      </c>
      <c r="CP19" s="10">
        <v>107</v>
      </c>
      <c r="CQ19" s="1">
        <f t="shared" si="27"/>
        <v>100.66666666666667</v>
      </c>
      <c r="CR19" s="1">
        <f t="shared" si="28"/>
        <v>100.66666666666669</v>
      </c>
      <c r="CS19" s="10">
        <v>81</v>
      </c>
      <c r="CT19" s="1">
        <v>86.5</v>
      </c>
      <c r="CU19" s="10">
        <v>89</v>
      </c>
      <c r="CV19" s="10">
        <f t="shared" si="29"/>
        <v>85.5</v>
      </c>
      <c r="CW19" s="10">
        <f t="shared" si="30"/>
        <v>85.5</v>
      </c>
      <c r="CX19" s="10">
        <v>99</v>
      </c>
      <c r="CY19" s="10">
        <v>102</v>
      </c>
      <c r="CZ19" s="10">
        <v>106</v>
      </c>
      <c r="DA19" s="10">
        <f t="shared" si="31"/>
        <v>102.33333333333333</v>
      </c>
      <c r="DB19" s="10">
        <f t="shared" si="32"/>
        <v>102.33333333333331</v>
      </c>
      <c r="DC19" s="10">
        <v>71</v>
      </c>
      <c r="DD19" s="10">
        <v>79</v>
      </c>
      <c r="DE19" s="10">
        <v>81</v>
      </c>
      <c r="DF19" s="1">
        <f t="shared" si="33"/>
        <v>77</v>
      </c>
      <c r="DG19" s="1">
        <f t="shared" si="34"/>
        <v>77</v>
      </c>
      <c r="DH19" s="10">
        <v>92</v>
      </c>
      <c r="DI19" s="10">
        <v>95</v>
      </c>
      <c r="DJ19" s="10">
        <v>100</v>
      </c>
      <c r="DK19" s="10">
        <f t="shared" si="35"/>
        <v>95.666666666666671</v>
      </c>
      <c r="DL19" s="10">
        <f t="shared" si="36"/>
        <v>95.666666666666671</v>
      </c>
      <c r="DM19" s="10">
        <v>97</v>
      </c>
      <c r="DN19" s="10">
        <v>101</v>
      </c>
      <c r="DO19" s="10">
        <v>105</v>
      </c>
      <c r="DP19" s="6">
        <f t="shared" si="37"/>
        <v>101</v>
      </c>
      <c r="DQ19" s="10">
        <f t="shared" si="38"/>
        <v>101</v>
      </c>
      <c r="DR19" s="1">
        <v>102.5</v>
      </c>
      <c r="DS19" s="10">
        <v>105</v>
      </c>
      <c r="DT19" s="10">
        <v>109</v>
      </c>
      <c r="DU19" s="6">
        <f t="shared" si="39"/>
        <v>105.5</v>
      </c>
      <c r="DV19" s="1">
        <f t="shared" si="40"/>
        <v>105.5</v>
      </c>
      <c r="DW19" s="10">
        <v>88</v>
      </c>
      <c r="DX19" s="10">
        <v>92</v>
      </c>
      <c r="DY19" s="10">
        <v>95</v>
      </c>
      <c r="DZ19" s="6">
        <f t="shared" si="41"/>
        <v>91.666666666666671</v>
      </c>
      <c r="EA19" s="6">
        <f t="shared" si="42"/>
        <v>91.666666666666671</v>
      </c>
      <c r="EB19" s="10">
        <v>72</v>
      </c>
      <c r="EC19" s="10">
        <v>84</v>
      </c>
      <c r="ED19" s="10">
        <v>77</v>
      </c>
      <c r="EE19" s="6">
        <f t="shared" si="43"/>
        <v>77.666666666666671</v>
      </c>
      <c r="EF19" s="6">
        <f t="shared" si="44"/>
        <v>77.666666666666671</v>
      </c>
      <c r="EG19" s="1">
        <v>97.5</v>
      </c>
      <c r="EH19" s="1">
        <v>103.5</v>
      </c>
      <c r="EI19" s="10">
        <v>106</v>
      </c>
      <c r="EJ19" s="6">
        <f t="shared" si="45"/>
        <v>102.33333333333333</v>
      </c>
      <c r="EK19" s="6">
        <f t="shared" si="46"/>
        <v>102.33333333333331</v>
      </c>
      <c r="EL19" s="10">
        <v>81</v>
      </c>
      <c r="EM19" s="10">
        <v>83</v>
      </c>
      <c r="EN19" s="10">
        <v>87</v>
      </c>
      <c r="EO19" s="6">
        <f t="shared" si="47"/>
        <v>83.666666666666671</v>
      </c>
      <c r="EP19" s="6">
        <f t="shared" si="48"/>
        <v>83.666666666666671</v>
      </c>
      <c r="EQ19" s="10">
        <v>104</v>
      </c>
      <c r="ER19" s="10">
        <v>104</v>
      </c>
      <c r="ES19" s="10">
        <v>110</v>
      </c>
      <c r="ET19" s="6">
        <f t="shared" si="49"/>
        <v>106</v>
      </c>
      <c r="EU19" s="6">
        <f t="shared" si="50"/>
        <v>106</v>
      </c>
      <c r="EV19" s="10">
        <v>95</v>
      </c>
      <c r="EW19" s="10">
        <v>95</v>
      </c>
      <c r="EX19" s="10">
        <v>99</v>
      </c>
      <c r="EY19" s="6">
        <f t="shared" si="51"/>
        <v>96.333333333333329</v>
      </c>
      <c r="EZ19" s="6">
        <f t="shared" si="52"/>
        <v>96.333333333333329</v>
      </c>
      <c r="FA19" s="10">
        <v>81</v>
      </c>
      <c r="FB19" s="10">
        <v>86</v>
      </c>
      <c r="FC19" s="10">
        <v>91</v>
      </c>
      <c r="FD19" s="6">
        <f t="shared" si="53"/>
        <v>86</v>
      </c>
      <c r="FE19" s="6">
        <f t="shared" si="54"/>
        <v>86</v>
      </c>
      <c r="FF19" s="10">
        <v>87</v>
      </c>
      <c r="FG19" s="10">
        <v>95</v>
      </c>
      <c r="FH19" s="10">
        <v>99</v>
      </c>
      <c r="FI19" s="6">
        <f t="shared" si="55"/>
        <v>93.666666666666671</v>
      </c>
      <c r="FJ19" s="6">
        <f t="shared" si="56"/>
        <v>93.666666666666671</v>
      </c>
      <c r="FK19" s="10">
        <v>94</v>
      </c>
      <c r="FL19" s="1">
        <v>96.5</v>
      </c>
      <c r="FM19" s="10">
        <v>97</v>
      </c>
      <c r="FN19" s="6">
        <f t="shared" si="57"/>
        <v>95.833333333333329</v>
      </c>
      <c r="FO19" s="6">
        <f t="shared" si="58"/>
        <v>95.833333333333329</v>
      </c>
      <c r="FP19" s="10">
        <v>105</v>
      </c>
      <c r="FQ19" s="10">
        <v>108</v>
      </c>
      <c r="FR19" s="10">
        <v>109</v>
      </c>
      <c r="FS19" s="6">
        <f t="shared" si="59"/>
        <v>107.33333333333333</v>
      </c>
      <c r="FT19" s="6">
        <f t="shared" si="60"/>
        <v>107.33333333333333</v>
      </c>
      <c r="FU19" s="10">
        <v>82</v>
      </c>
      <c r="FV19" s="10">
        <v>89</v>
      </c>
      <c r="FW19" s="10">
        <v>75</v>
      </c>
      <c r="FX19" s="6">
        <f t="shared" si="61"/>
        <v>82</v>
      </c>
      <c r="FY19" s="6">
        <f t="shared" si="62"/>
        <v>82</v>
      </c>
      <c r="FZ19" s="10">
        <v>101</v>
      </c>
      <c r="GA19" s="10">
        <v>105</v>
      </c>
      <c r="GB19" s="10">
        <v>106</v>
      </c>
      <c r="GC19" s="6">
        <f t="shared" si="63"/>
        <v>104</v>
      </c>
      <c r="GD19" s="6">
        <f t="shared" si="64"/>
        <v>104</v>
      </c>
      <c r="GE19" s="10">
        <v>76</v>
      </c>
      <c r="GF19" s="10">
        <v>81</v>
      </c>
      <c r="GG19" s="10">
        <v>89</v>
      </c>
      <c r="GH19" s="6">
        <f t="shared" si="65"/>
        <v>82</v>
      </c>
      <c r="GI19" s="6">
        <f t="shared" si="66"/>
        <v>82</v>
      </c>
      <c r="GJ19" s="10">
        <v>98</v>
      </c>
      <c r="GK19" s="10">
        <v>99</v>
      </c>
      <c r="GL19" s="10">
        <v>103</v>
      </c>
      <c r="GM19" s="6">
        <f t="shared" si="67"/>
        <v>100</v>
      </c>
      <c r="GN19" s="6">
        <f t="shared" si="68"/>
        <v>100</v>
      </c>
      <c r="GO19" s="10">
        <v>82.6</v>
      </c>
      <c r="GP19" s="15" t="s">
        <v>222</v>
      </c>
      <c r="GQ19" s="6"/>
      <c r="GR19" s="12"/>
      <c r="GS19" s="12">
        <f t="shared" si="72"/>
        <v>85.868588441678412</v>
      </c>
      <c r="GU19" s="12">
        <f t="shared" si="73"/>
        <v>85.708333333333329</v>
      </c>
      <c r="GV19" s="12">
        <f t="shared" si="69"/>
        <v>93.958333333333329</v>
      </c>
      <c r="GW19" s="12">
        <f t="shared" si="74"/>
        <v>8.25</v>
      </c>
      <c r="GX19" s="12"/>
      <c r="GY19" s="12"/>
      <c r="GZ19" s="13">
        <f t="shared" si="75"/>
        <v>85.868588441678412</v>
      </c>
      <c r="HA19" s="6"/>
      <c r="HB19" s="10">
        <f t="shared" si="70"/>
        <v>2.6666666666666714</v>
      </c>
      <c r="HC19" s="6"/>
      <c r="HD19" s="10">
        <f t="shared" si="76"/>
        <v>93.354166666666671</v>
      </c>
      <c r="HE19" s="10">
        <f t="shared" si="71"/>
        <v>96.020833333333343</v>
      </c>
      <c r="HF19" s="10"/>
      <c r="HH19" s="10"/>
    </row>
    <row r="20" spans="1:216" ht="15.75" customHeight="1">
      <c r="A20" s="1" t="s">
        <v>227</v>
      </c>
      <c r="B20" s="10">
        <v>20</v>
      </c>
      <c r="C20" s="1" t="s">
        <v>203</v>
      </c>
      <c r="D20" s="10">
        <v>76</v>
      </c>
      <c r="E20" s="10">
        <v>175</v>
      </c>
      <c r="F20" s="10">
        <v>99</v>
      </c>
      <c r="G20" s="1" t="s">
        <v>204</v>
      </c>
      <c r="H20" s="1" t="s">
        <v>205</v>
      </c>
      <c r="I20" s="1" t="s">
        <v>204</v>
      </c>
      <c r="J20" s="1" t="s">
        <v>204</v>
      </c>
      <c r="K20" s="10">
        <v>15</v>
      </c>
      <c r="L20" s="1" t="s">
        <v>206</v>
      </c>
      <c r="M20" s="1" t="s">
        <v>207</v>
      </c>
      <c r="N20" s="10">
        <v>74</v>
      </c>
      <c r="O20" s="1">
        <v>72.8</v>
      </c>
      <c r="P20" s="1">
        <v>77.900000000000006</v>
      </c>
      <c r="Q20" s="6">
        <f t="shared" si="0"/>
        <v>74.900000000000006</v>
      </c>
      <c r="R20" s="1">
        <v>75.5</v>
      </c>
      <c r="S20" s="10">
        <v>71</v>
      </c>
      <c r="T20" s="1">
        <v>75.599999999999994</v>
      </c>
      <c r="U20" s="6">
        <f t="shared" si="1"/>
        <v>74.033333333333331</v>
      </c>
      <c r="V20" s="1">
        <v>135.80000000000001</v>
      </c>
      <c r="W20" s="1">
        <v>138.4</v>
      </c>
      <c r="X20" s="1">
        <v>130.5</v>
      </c>
      <c r="Y20" s="6">
        <f t="shared" si="2"/>
        <v>134.9</v>
      </c>
      <c r="Z20" s="10">
        <v>141</v>
      </c>
      <c r="AA20" s="1">
        <v>131.5</v>
      </c>
      <c r="AB20" s="1">
        <v>146.5</v>
      </c>
      <c r="AC20" s="6">
        <f t="shared" si="3"/>
        <v>139.66666666666666</v>
      </c>
      <c r="AD20" s="10">
        <v>0</v>
      </c>
      <c r="AE20" s="10">
        <v>0</v>
      </c>
      <c r="AF20" s="10">
        <v>0</v>
      </c>
      <c r="AG20" s="10">
        <v>0</v>
      </c>
      <c r="AH20" s="10">
        <v>1</v>
      </c>
      <c r="AI20" s="10">
        <v>1</v>
      </c>
      <c r="AJ20" s="10">
        <f t="shared" si="4"/>
        <v>2</v>
      </c>
      <c r="AK20" s="1">
        <v>90.5</v>
      </c>
      <c r="AL20" s="10">
        <v>92</v>
      </c>
      <c r="AM20" s="10">
        <v>93</v>
      </c>
      <c r="AN20" s="10">
        <f t="shared" si="5"/>
        <v>91.833333333333329</v>
      </c>
      <c r="AO20" s="10">
        <f t="shared" si="6"/>
        <v>92.760942760942754</v>
      </c>
      <c r="AP20" s="1">
        <v>87.5</v>
      </c>
      <c r="AQ20" s="1">
        <v>91.5</v>
      </c>
      <c r="AR20" s="10">
        <v>91</v>
      </c>
      <c r="AS20" s="6">
        <f t="shared" si="7"/>
        <v>90</v>
      </c>
      <c r="AT20" s="6">
        <f t="shared" si="8"/>
        <v>90.909090909090907</v>
      </c>
      <c r="AU20" s="1">
        <v>81.5</v>
      </c>
      <c r="AV20" s="1">
        <v>82.5</v>
      </c>
      <c r="AW20" s="1">
        <v>82.5</v>
      </c>
      <c r="AX20" s="6">
        <f t="shared" si="9"/>
        <v>82.166666666666671</v>
      </c>
      <c r="AY20" s="6">
        <f t="shared" si="10"/>
        <v>82.996632996632997</v>
      </c>
      <c r="AZ20" s="1">
        <v>71.5</v>
      </c>
      <c r="BA20" s="1">
        <v>71.5</v>
      </c>
      <c r="BB20" s="10">
        <v>72</v>
      </c>
      <c r="BC20" s="6">
        <f t="shared" si="11"/>
        <v>71.666666666666671</v>
      </c>
      <c r="BD20" s="10">
        <f t="shared" si="12"/>
        <v>72.390572390572387</v>
      </c>
      <c r="BE20" s="10">
        <v>84</v>
      </c>
      <c r="BF20" s="10">
        <v>84</v>
      </c>
      <c r="BG20" s="10">
        <v>85</v>
      </c>
      <c r="BH20" s="10">
        <f t="shared" si="13"/>
        <v>71.666666666666671</v>
      </c>
      <c r="BI20" s="10">
        <f t="shared" si="14"/>
        <v>72.390572390572387</v>
      </c>
      <c r="BJ20" s="10">
        <v>70</v>
      </c>
      <c r="BK20" s="10">
        <v>77</v>
      </c>
      <c r="BL20" s="10">
        <v>81</v>
      </c>
      <c r="BM20" s="10">
        <f t="shared" si="15"/>
        <v>76</v>
      </c>
      <c r="BN20" s="10">
        <f t="shared" si="16"/>
        <v>76.767676767676761</v>
      </c>
      <c r="BO20" s="1">
        <v>87.5</v>
      </c>
      <c r="BP20" s="10">
        <v>91</v>
      </c>
      <c r="BQ20" s="10">
        <v>92</v>
      </c>
      <c r="BR20" s="1">
        <f t="shared" si="17"/>
        <v>90.166666666666671</v>
      </c>
      <c r="BS20" s="1">
        <f t="shared" si="18"/>
        <v>91.07744107744108</v>
      </c>
      <c r="BT20" s="10">
        <v>87</v>
      </c>
      <c r="BU20" s="10">
        <v>87</v>
      </c>
      <c r="BV20" s="10">
        <v>95</v>
      </c>
      <c r="BW20" s="10">
        <f t="shared" si="19"/>
        <v>89.666666666666671</v>
      </c>
      <c r="BX20" s="10">
        <f t="shared" si="20"/>
        <v>90.572390572390589</v>
      </c>
      <c r="BY20" s="10">
        <v>87</v>
      </c>
      <c r="BZ20" s="10">
        <v>87</v>
      </c>
      <c r="CA20" s="10">
        <v>89</v>
      </c>
      <c r="CB20" s="10">
        <f t="shared" si="21"/>
        <v>87.666666666666671</v>
      </c>
      <c r="CC20" s="10">
        <f t="shared" si="22"/>
        <v>88.552188552188554</v>
      </c>
      <c r="CD20" s="10">
        <v>90</v>
      </c>
      <c r="CE20" s="10">
        <v>91</v>
      </c>
      <c r="CF20" s="10">
        <v>91</v>
      </c>
      <c r="CG20" s="1">
        <f t="shared" si="23"/>
        <v>90.666666666666671</v>
      </c>
      <c r="CH20" s="1">
        <f t="shared" si="24"/>
        <v>91.582491582491585</v>
      </c>
      <c r="CI20" s="10">
        <v>89</v>
      </c>
      <c r="CJ20" s="10">
        <v>92</v>
      </c>
      <c r="CK20" s="1">
        <v>94.5</v>
      </c>
      <c r="CL20" s="10">
        <f t="shared" si="25"/>
        <v>91.833333333333329</v>
      </c>
      <c r="CM20" s="10">
        <f t="shared" si="26"/>
        <v>92.760942760942754</v>
      </c>
      <c r="CN20" s="10">
        <v>97</v>
      </c>
      <c r="CO20" s="10">
        <v>100</v>
      </c>
      <c r="CP20" s="1">
        <v>102.5</v>
      </c>
      <c r="CQ20" s="1">
        <f t="shared" si="27"/>
        <v>99.833333333333329</v>
      </c>
      <c r="CR20" s="1">
        <f t="shared" si="28"/>
        <v>100.84175084175084</v>
      </c>
      <c r="CS20" s="10">
        <v>88</v>
      </c>
      <c r="CT20" s="1">
        <v>88.5</v>
      </c>
      <c r="CU20" s="10">
        <v>90</v>
      </c>
      <c r="CV20" s="10">
        <f t="shared" si="29"/>
        <v>88.833333333333329</v>
      </c>
      <c r="CW20" s="10">
        <f t="shared" si="30"/>
        <v>89.730639730639723</v>
      </c>
      <c r="CX20" s="1">
        <v>88.5</v>
      </c>
      <c r="CY20" s="10">
        <v>91</v>
      </c>
      <c r="CZ20" s="10">
        <v>95</v>
      </c>
      <c r="DA20" s="10">
        <f t="shared" si="31"/>
        <v>91.5</v>
      </c>
      <c r="DB20" s="10">
        <f t="shared" si="32"/>
        <v>92.424242424242422</v>
      </c>
      <c r="DC20" s="1">
        <v>72.5</v>
      </c>
      <c r="DD20" s="10">
        <v>74</v>
      </c>
      <c r="DE20" s="10">
        <v>74</v>
      </c>
      <c r="DF20" s="1">
        <f t="shared" si="33"/>
        <v>73.5</v>
      </c>
      <c r="DG20" s="1">
        <f t="shared" si="34"/>
        <v>74.242424242424249</v>
      </c>
      <c r="DH20" s="10">
        <v>87</v>
      </c>
      <c r="DI20" s="1">
        <v>83.5</v>
      </c>
      <c r="DJ20" s="1">
        <v>84.5</v>
      </c>
      <c r="DK20" s="10">
        <f t="shared" si="35"/>
        <v>85</v>
      </c>
      <c r="DL20" s="10">
        <f t="shared" si="36"/>
        <v>85.858585858585855</v>
      </c>
      <c r="DM20" s="1">
        <v>94.5</v>
      </c>
      <c r="DN20" s="1">
        <v>96.5</v>
      </c>
      <c r="DO20" s="10">
        <v>98</v>
      </c>
      <c r="DP20" s="6">
        <f t="shared" si="37"/>
        <v>96.333333333333329</v>
      </c>
      <c r="DQ20" s="10">
        <f t="shared" si="38"/>
        <v>97.306397306397301</v>
      </c>
      <c r="DR20" s="1">
        <v>93.5</v>
      </c>
      <c r="DS20" s="1">
        <v>94.5</v>
      </c>
      <c r="DT20" s="10">
        <v>96</v>
      </c>
      <c r="DU20" s="6">
        <f t="shared" si="39"/>
        <v>94.666666666666671</v>
      </c>
      <c r="DV20" s="1">
        <f t="shared" si="40"/>
        <v>95.622895622895626</v>
      </c>
      <c r="DW20" s="10">
        <v>81</v>
      </c>
      <c r="DX20" s="10">
        <v>83</v>
      </c>
      <c r="DY20" s="10">
        <v>84</v>
      </c>
      <c r="DZ20" s="6">
        <f t="shared" si="41"/>
        <v>82.666666666666671</v>
      </c>
      <c r="EA20" s="6">
        <f t="shared" si="42"/>
        <v>83.501683501683516</v>
      </c>
      <c r="EB20" s="10">
        <v>65</v>
      </c>
      <c r="EC20" s="10">
        <v>70</v>
      </c>
      <c r="ED20" s="10">
        <v>71</v>
      </c>
      <c r="EE20" s="6">
        <f t="shared" si="43"/>
        <v>68.666666666666671</v>
      </c>
      <c r="EF20" s="6">
        <f t="shared" si="44"/>
        <v>69.360269360269371</v>
      </c>
      <c r="EG20" s="10">
        <v>88</v>
      </c>
      <c r="EH20" s="10">
        <v>90</v>
      </c>
      <c r="EI20" s="10">
        <v>92</v>
      </c>
      <c r="EJ20" s="6">
        <f t="shared" si="45"/>
        <v>90</v>
      </c>
      <c r="EK20" s="6">
        <f t="shared" si="46"/>
        <v>90.909090909090907</v>
      </c>
      <c r="EL20" s="10">
        <v>71</v>
      </c>
      <c r="EM20" s="10">
        <v>78</v>
      </c>
      <c r="EN20" s="10">
        <v>80</v>
      </c>
      <c r="EO20" s="6">
        <f t="shared" si="47"/>
        <v>76.333333333333329</v>
      </c>
      <c r="EP20" s="6">
        <f t="shared" si="48"/>
        <v>77.104377104377093</v>
      </c>
      <c r="EQ20" s="1">
        <v>90.5</v>
      </c>
      <c r="ER20" s="1">
        <v>92.5</v>
      </c>
      <c r="ES20" s="1">
        <v>92.5</v>
      </c>
      <c r="ET20" s="6">
        <f t="shared" si="49"/>
        <v>91.833333333333329</v>
      </c>
      <c r="EU20" s="6">
        <f t="shared" si="50"/>
        <v>92.760942760942754</v>
      </c>
      <c r="EV20" s="10">
        <v>85</v>
      </c>
      <c r="EW20" s="10">
        <v>93</v>
      </c>
      <c r="EX20" s="10">
        <v>98</v>
      </c>
      <c r="EY20" s="6">
        <f t="shared" si="51"/>
        <v>92</v>
      </c>
      <c r="EZ20" s="6">
        <f t="shared" si="52"/>
        <v>92.929292929292927</v>
      </c>
      <c r="FA20" s="10">
        <v>84</v>
      </c>
      <c r="FB20" s="1">
        <v>86.5</v>
      </c>
      <c r="FC20" s="1">
        <v>88.5</v>
      </c>
      <c r="FD20" s="6">
        <f t="shared" si="53"/>
        <v>86.333333333333329</v>
      </c>
      <c r="FE20" s="6">
        <f t="shared" si="54"/>
        <v>87.205387205387197</v>
      </c>
      <c r="FF20" s="1">
        <v>86.5</v>
      </c>
      <c r="FG20" s="10">
        <v>92</v>
      </c>
      <c r="FH20" s="10">
        <v>93</v>
      </c>
      <c r="FI20" s="6">
        <f t="shared" si="55"/>
        <v>90.5</v>
      </c>
      <c r="FJ20" s="6">
        <f t="shared" si="56"/>
        <v>91.414141414141412</v>
      </c>
      <c r="FK20" s="10">
        <v>94</v>
      </c>
      <c r="FL20" s="10">
        <v>97</v>
      </c>
      <c r="FM20" s="10">
        <v>102</v>
      </c>
      <c r="FN20" s="6">
        <f t="shared" si="57"/>
        <v>97.666666666666671</v>
      </c>
      <c r="FO20" s="6">
        <f t="shared" si="58"/>
        <v>98.653198653198658</v>
      </c>
      <c r="FP20" s="10">
        <v>96</v>
      </c>
      <c r="FQ20" s="10">
        <v>99</v>
      </c>
      <c r="FR20" s="10">
        <v>100</v>
      </c>
      <c r="FS20" s="6">
        <f t="shared" si="59"/>
        <v>98.333333333333329</v>
      </c>
      <c r="FT20" s="6">
        <f t="shared" si="60"/>
        <v>99.326599326599322</v>
      </c>
      <c r="FU20" s="10">
        <v>87</v>
      </c>
      <c r="FV20" s="10">
        <v>90</v>
      </c>
      <c r="FW20" s="10">
        <v>95</v>
      </c>
      <c r="FX20" s="6">
        <f t="shared" si="61"/>
        <v>90.666666666666671</v>
      </c>
      <c r="FY20" s="6">
        <f t="shared" si="62"/>
        <v>91.582491582491585</v>
      </c>
      <c r="FZ20" s="1">
        <v>92.5</v>
      </c>
      <c r="GA20" s="10">
        <v>94</v>
      </c>
      <c r="GB20" s="10">
        <v>94</v>
      </c>
      <c r="GC20" s="6">
        <f t="shared" si="63"/>
        <v>93.5</v>
      </c>
      <c r="GD20" s="6">
        <f t="shared" si="64"/>
        <v>94.444444444444443</v>
      </c>
      <c r="GE20" s="10">
        <v>73</v>
      </c>
      <c r="GF20" s="1">
        <v>74.5</v>
      </c>
      <c r="GG20" s="10">
        <v>77</v>
      </c>
      <c r="GH20" s="6">
        <f t="shared" si="65"/>
        <v>74.833333333333329</v>
      </c>
      <c r="GI20" s="6">
        <f t="shared" si="66"/>
        <v>75.589225589225578</v>
      </c>
      <c r="GJ20" s="10">
        <v>82</v>
      </c>
      <c r="GK20" s="10">
        <v>85</v>
      </c>
      <c r="GL20" s="10">
        <v>84</v>
      </c>
      <c r="GM20" s="6">
        <f t="shared" si="67"/>
        <v>83.666666666666671</v>
      </c>
      <c r="GN20" s="6">
        <f t="shared" si="68"/>
        <v>84.511784511784512</v>
      </c>
      <c r="GO20" s="10">
        <v>84.75</v>
      </c>
      <c r="GP20" s="15" t="s">
        <v>222</v>
      </c>
      <c r="GQ20" s="6"/>
      <c r="GR20" s="12"/>
      <c r="GS20" s="12">
        <f t="shared" si="72"/>
        <v>85.372995330221556</v>
      </c>
      <c r="GU20" s="12">
        <f t="shared" si="73"/>
        <v>85.563973063973066</v>
      </c>
      <c r="GV20" s="12">
        <f t="shared" si="69"/>
        <v>87.668350168350145</v>
      </c>
      <c r="GW20" s="12">
        <f t="shared" si="74"/>
        <v>2.1043771043770789</v>
      </c>
      <c r="GX20" s="12"/>
      <c r="GY20" s="12"/>
      <c r="GZ20" s="13">
        <f t="shared" si="75"/>
        <v>85.372995330221556</v>
      </c>
      <c r="HA20" s="6"/>
      <c r="HB20" s="10">
        <f t="shared" si="70"/>
        <v>1.5993265993265737</v>
      </c>
      <c r="HC20" s="6"/>
      <c r="HD20" s="10">
        <f t="shared" si="76"/>
        <v>89.688552188552165</v>
      </c>
      <c r="HE20" s="10">
        <f t="shared" si="71"/>
        <v>88.089225589225592</v>
      </c>
      <c r="HF20" s="10"/>
      <c r="HH20" s="10"/>
    </row>
    <row r="21" spans="1:216" ht="15.75" customHeight="1">
      <c r="A21" s="1" t="s">
        <v>228</v>
      </c>
      <c r="B21" s="10">
        <v>24</v>
      </c>
      <c r="C21" s="1" t="s">
        <v>203</v>
      </c>
      <c r="D21" s="10">
        <v>80</v>
      </c>
      <c r="E21" s="10">
        <v>188</v>
      </c>
      <c r="F21" s="10">
        <v>111</v>
      </c>
      <c r="G21" s="1" t="s">
        <v>204</v>
      </c>
      <c r="H21" s="1" t="s">
        <v>205</v>
      </c>
      <c r="I21" s="1" t="s">
        <v>204</v>
      </c>
      <c r="J21" s="1" t="s">
        <v>204</v>
      </c>
      <c r="K21" s="10">
        <v>17</v>
      </c>
      <c r="L21" s="1" t="s">
        <v>206</v>
      </c>
      <c r="M21" s="1" t="s">
        <v>207</v>
      </c>
      <c r="N21" s="1">
        <v>78.7</v>
      </c>
      <c r="O21" s="1">
        <v>80.599999999999994</v>
      </c>
      <c r="P21" s="1">
        <v>82.8</v>
      </c>
      <c r="Q21" s="6">
        <f t="shared" si="0"/>
        <v>80.7</v>
      </c>
      <c r="R21" s="1">
        <v>70.2</v>
      </c>
      <c r="S21" s="10">
        <v>75</v>
      </c>
      <c r="T21" s="1">
        <v>70.099999999999994</v>
      </c>
      <c r="U21" s="6">
        <f t="shared" si="1"/>
        <v>71.766666666666666</v>
      </c>
      <c r="V21" s="1">
        <v>141.5</v>
      </c>
      <c r="W21" s="1">
        <v>155.4</v>
      </c>
      <c r="X21" s="1">
        <v>140.6</v>
      </c>
      <c r="Y21" s="6">
        <f t="shared" si="2"/>
        <v>145.83333333333334</v>
      </c>
      <c r="Z21" s="10">
        <v>142</v>
      </c>
      <c r="AA21" s="1">
        <v>132.30000000000001</v>
      </c>
      <c r="AB21" s="1">
        <v>137.5</v>
      </c>
      <c r="AC21" s="6">
        <f t="shared" si="3"/>
        <v>137.26666666666668</v>
      </c>
      <c r="AD21" s="10">
        <v>0</v>
      </c>
      <c r="AE21" s="10">
        <v>0</v>
      </c>
      <c r="AF21" s="10">
        <v>0</v>
      </c>
      <c r="AG21" s="10">
        <v>0</v>
      </c>
      <c r="AH21" s="10">
        <v>1</v>
      </c>
      <c r="AI21" s="10">
        <v>0</v>
      </c>
      <c r="AJ21" s="10">
        <f t="shared" si="4"/>
        <v>1</v>
      </c>
      <c r="AK21" s="1">
        <v>99.5</v>
      </c>
      <c r="AL21" s="1">
        <v>104.5</v>
      </c>
      <c r="AM21" s="1">
        <v>105.5</v>
      </c>
      <c r="AN21" s="10">
        <f t="shared" si="5"/>
        <v>103.16666666666667</v>
      </c>
      <c r="AO21" s="10">
        <f t="shared" si="6"/>
        <v>92.942942942942949</v>
      </c>
      <c r="AP21" s="1">
        <v>97.5</v>
      </c>
      <c r="AQ21" s="1">
        <v>98.5</v>
      </c>
      <c r="AR21" s="1">
        <v>105.5</v>
      </c>
      <c r="AS21" s="6">
        <f t="shared" si="7"/>
        <v>100.5</v>
      </c>
      <c r="AT21" s="6">
        <f t="shared" si="8"/>
        <v>90.540540540540533</v>
      </c>
      <c r="AU21" s="10">
        <v>88</v>
      </c>
      <c r="AV21" s="10">
        <v>90</v>
      </c>
      <c r="AW21" s="1">
        <v>92.5</v>
      </c>
      <c r="AX21" s="6">
        <f t="shared" si="9"/>
        <v>90.166666666666671</v>
      </c>
      <c r="AY21" s="6">
        <f t="shared" si="10"/>
        <v>81.231231231231234</v>
      </c>
      <c r="AZ21" s="1">
        <v>70.5</v>
      </c>
      <c r="BA21" s="10">
        <v>74</v>
      </c>
      <c r="BB21" s="10">
        <v>75</v>
      </c>
      <c r="BC21" s="6">
        <f t="shared" si="11"/>
        <v>73.166666666666671</v>
      </c>
      <c r="BD21" s="10">
        <f t="shared" si="12"/>
        <v>65.915915915915917</v>
      </c>
      <c r="BE21" s="1">
        <v>91.5</v>
      </c>
      <c r="BF21" s="1">
        <v>94.5</v>
      </c>
      <c r="BG21" s="10">
        <v>95</v>
      </c>
      <c r="BH21" s="10">
        <f t="shared" si="13"/>
        <v>73.166666666666671</v>
      </c>
      <c r="BI21" s="10">
        <f t="shared" si="14"/>
        <v>65.915915915915917</v>
      </c>
      <c r="BJ21" s="10">
        <v>75</v>
      </c>
      <c r="BK21" s="10">
        <v>80</v>
      </c>
      <c r="BL21" s="10">
        <v>83</v>
      </c>
      <c r="BM21" s="10">
        <f t="shared" si="15"/>
        <v>79.333333333333329</v>
      </c>
      <c r="BN21" s="10">
        <f t="shared" si="16"/>
        <v>71.471471471471475</v>
      </c>
      <c r="BO21" s="10">
        <v>96</v>
      </c>
      <c r="BP21" s="10">
        <v>97</v>
      </c>
      <c r="BQ21" s="10">
        <v>98</v>
      </c>
      <c r="BR21" s="1">
        <f t="shared" si="17"/>
        <v>97</v>
      </c>
      <c r="BS21" s="1">
        <f t="shared" si="18"/>
        <v>87.387387387387378</v>
      </c>
      <c r="BT21" s="10">
        <v>87</v>
      </c>
      <c r="BU21" s="1">
        <v>98.5</v>
      </c>
      <c r="BV21" s="1">
        <v>99.5</v>
      </c>
      <c r="BW21" s="10">
        <f t="shared" si="19"/>
        <v>95</v>
      </c>
      <c r="BX21" s="10">
        <f t="shared" si="20"/>
        <v>85.585585585585591</v>
      </c>
      <c r="BY21" s="10">
        <v>88</v>
      </c>
      <c r="BZ21" s="10">
        <v>89</v>
      </c>
      <c r="CA21" s="10">
        <v>91</v>
      </c>
      <c r="CB21" s="10">
        <f t="shared" si="21"/>
        <v>89.333333333333329</v>
      </c>
      <c r="CC21" s="10">
        <f t="shared" si="22"/>
        <v>80.48048048048048</v>
      </c>
      <c r="CD21" s="1">
        <v>97.5</v>
      </c>
      <c r="CE21" s="10">
        <v>98</v>
      </c>
      <c r="CF21" s="10">
        <v>100</v>
      </c>
      <c r="CG21" s="1">
        <f t="shared" si="23"/>
        <v>98.5</v>
      </c>
      <c r="CH21" s="1">
        <f t="shared" si="24"/>
        <v>88.738738738738746</v>
      </c>
      <c r="CI21" s="10">
        <v>92</v>
      </c>
      <c r="CJ21" s="10">
        <v>92</v>
      </c>
      <c r="CK21" s="10">
        <v>95</v>
      </c>
      <c r="CL21" s="10">
        <f t="shared" si="25"/>
        <v>93</v>
      </c>
      <c r="CM21" s="10">
        <f t="shared" si="26"/>
        <v>83.78378378378379</v>
      </c>
      <c r="CN21" s="10">
        <v>100</v>
      </c>
      <c r="CO21" s="10">
        <v>109</v>
      </c>
      <c r="CP21" s="10">
        <v>106</v>
      </c>
      <c r="CQ21" s="1">
        <f t="shared" si="27"/>
        <v>105</v>
      </c>
      <c r="CR21" s="1">
        <f t="shared" si="28"/>
        <v>94.594594594594597</v>
      </c>
      <c r="CS21" s="10">
        <v>87</v>
      </c>
      <c r="CT21" s="10">
        <v>90</v>
      </c>
      <c r="CU21" s="10">
        <v>98</v>
      </c>
      <c r="CV21" s="10">
        <f t="shared" si="29"/>
        <v>91.666666666666671</v>
      </c>
      <c r="CW21" s="10">
        <f t="shared" si="30"/>
        <v>82.582582582582589</v>
      </c>
      <c r="CX21" s="10">
        <v>100</v>
      </c>
      <c r="CY21" s="1">
        <v>102.5</v>
      </c>
      <c r="CZ21" s="1">
        <v>102.5</v>
      </c>
      <c r="DA21" s="10">
        <f t="shared" si="31"/>
        <v>101.66666666666667</v>
      </c>
      <c r="DB21" s="10">
        <f t="shared" si="32"/>
        <v>91.591591591591595</v>
      </c>
      <c r="DC21" s="10">
        <v>79</v>
      </c>
      <c r="DD21" s="10">
        <v>80</v>
      </c>
      <c r="DE21" s="10">
        <v>83</v>
      </c>
      <c r="DF21" s="1">
        <f t="shared" si="33"/>
        <v>80.666666666666671</v>
      </c>
      <c r="DG21" s="1">
        <f t="shared" si="34"/>
        <v>72.672672672672675</v>
      </c>
      <c r="DH21" s="10">
        <v>90</v>
      </c>
      <c r="DI21" s="1">
        <v>91.5</v>
      </c>
      <c r="DJ21" s="10">
        <v>94</v>
      </c>
      <c r="DK21" s="10">
        <f t="shared" si="35"/>
        <v>91.833333333333329</v>
      </c>
      <c r="DL21" s="10">
        <f t="shared" si="36"/>
        <v>82.732732732732728</v>
      </c>
      <c r="DM21" s="10">
        <v>96</v>
      </c>
      <c r="DN21" s="1">
        <v>96.5</v>
      </c>
      <c r="DO21" s="10">
        <v>98</v>
      </c>
      <c r="DP21" s="6">
        <f t="shared" si="37"/>
        <v>96.833333333333329</v>
      </c>
      <c r="DQ21" s="10">
        <f t="shared" si="38"/>
        <v>87.237237237237224</v>
      </c>
      <c r="DR21" s="10">
        <v>96</v>
      </c>
      <c r="DS21" s="10">
        <v>99</v>
      </c>
      <c r="DT21" s="10">
        <v>100</v>
      </c>
      <c r="DU21" s="6">
        <f t="shared" si="39"/>
        <v>98.333333333333329</v>
      </c>
      <c r="DV21" s="1">
        <f t="shared" si="40"/>
        <v>88.588588588588578</v>
      </c>
      <c r="DW21" s="10">
        <v>87</v>
      </c>
      <c r="DX21" s="10">
        <v>93</v>
      </c>
      <c r="DY21" s="10">
        <v>93</v>
      </c>
      <c r="DZ21" s="6">
        <f t="shared" si="41"/>
        <v>91</v>
      </c>
      <c r="EA21" s="6">
        <f t="shared" si="42"/>
        <v>81.981981981981974</v>
      </c>
      <c r="EB21" s="10">
        <v>77</v>
      </c>
      <c r="EC21" s="10">
        <v>80</v>
      </c>
      <c r="ED21" s="10">
        <v>81</v>
      </c>
      <c r="EE21" s="6">
        <f t="shared" si="43"/>
        <v>79.333333333333329</v>
      </c>
      <c r="EF21" s="6">
        <f t="shared" si="44"/>
        <v>71.471471471471475</v>
      </c>
      <c r="EG21" s="10">
        <v>97</v>
      </c>
      <c r="EH21" s="10">
        <v>101</v>
      </c>
      <c r="EI21" s="10">
        <v>103</v>
      </c>
      <c r="EJ21" s="6">
        <f t="shared" si="45"/>
        <v>100.33333333333333</v>
      </c>
      <c r="EK21" s="6">
        <f t="shared" si="46"/>
        <v>90.39039039039038</v>
      </c>
      <c r="EL21" s="10">
        <v>80</v>
      </c>
      <c r="EM21" s="10">
        <v>82</v>
      </c>
      <c r="EN21" s="10">
        <v>81</v>
      </c>
      <c r="EO21" s="6">
        <f t="shared" si="47"/>
        <v>81</v>
      </c>
      <c r="EP21" s="6">
        <f t="shared" si="48"/>
        <v>72.972972972972968</v>
      </c>
      <c r="EQ21" s="10">
        <v>109</v>
      </c>
      <c r="ER21" s="10">
        <v>109</v>
      </c>
      <c r="ES21" s="10">
        <v>109</v>
      </c>
      <c r="ET21" s="6">
        <f t="shared" si="49"/>
        <v>109</v>
      </c>
      <c r="EU21" s="6">
        <f t="shared" si="50"/>
        <v>98.198198198198199</v>
      </c>
      <c r="EV21" s="10">
        <v>96</v>
      </c>
      <c r="EW21" s="10">
        <v>103</v>
      </c>
      <c r="EX21" s="10">
        <v>104</v>
      </c>
      <c r="EY21" s="6">
        <f t="shared" si="51"/>
        <v>101</v>
      </c>
      <c r="EZ21" s="6">
        <f t="shared" si="52"/>
        <v>90.990990990990994</v>
      </c>
      <c r="FA21" s="10">
        <v>94</v>
      </c>
      <c r="FB21" s="10">
        <v>94</v>
      </c>
      <c r="FC21" s="1">
        <v>97.5</v>
      </c>
      <c r="FD21" s="6">
        <f t="shared" si="53"/>
        <v>95.166666666666671</v>
      </c>
      <c r="FE21" s="6">
        <f t="shared" si="54"/>
        <v>85.735735735735744</v>
      </c>
      <c r="FF21" s="10">
        <v>94</v>
      </c>
      <c r="FG21" s="10">
        <v>96</v>
      </c>
      <c r="FH21" s="10">
        <v>99</v>
      </c>
      <c r="FI21" s="6">
        <f t="shared" si="55"/>
        <v>96.333333333333329</v>
      </c>
      <c r="FJ21" s="6">
        <f t="shared" si="56"/>
        <v>86.786786786786791</v>
      </c>
      <c r="FK21" s="1">
        <v>89.5</v>
      </c>
      <c r="FL21" s="1">
        <v>97.5</v>
      </c>
      <c r="FM21" s="1">
        <v>96.5</v>
      </c>
      <c r="FN21" s="6">
        <f t="shared" si="57"/>
        <v>94.5</v>
      </c>
      <c r="FO21" s="6">
        <f t="shared" si="58"/>
        <v>85.13513513513513</v>
      </c>
      <c r="FP21" s="1">
        <v>107.5</v>
      </c>
      <c r="FQ21" s="1">
        <v>108.5</v>
      </c>
      <c r="FR21" s="1">
        <v>109.5</v>
      </c>
      <c r="FS21" s="6">
        <f t="shared" si="59"/>
        <v>108.5</v>
      </c>
      <c r="FT21" s="6">
        <f t="shared" si="60"/>
        <v>97.747747747747752</v>
      </c>
      <c r="FU21" s="10">
        <v>96</v>
      </c>
      <c r="FV21" s="10">
        <v>93</v>
      </c>
      <c r="FW21" s="10">
        <v>97</v>
      </c>
      <c r="FX21" s="6">
        <f t="shared" si="61"/>
        <v>95.333333333333329</v>
      </c>
      <c r="FY21" s="6">
        <f t="shared" si="62"/>
        <v>85.885885885885884</v>
      </c>
      <c r="FZ21" s="10">
        <v>108</v>
      </c>
      <c r="GA21" s="10">
        <v>108</v>
      </c>
      <c r="GB21" s="10">
        <v>104</v>
      </c>
      <c r="GC21" s="6">
        <f t="shared" si="63"/>
        <v>106.66666666666667</v>
      </c>
      <c r="GD21" s="6">
        <f t="shared" si="64"/>
        <v>96.09609609609609</v>
      </c>
      <c r="GE21" s="1">
        <v>72.5</v>
      </c>
      <c r="GF21" s="1">
        <v>82.5</v>
      </c>
      <c r="GG21" s="10">
        <v>82</v>
      </c>
      <c r="GH21" s="6">
        <f t="shared" si="65"/>
        <v>79</v>
      </c>
      <c r="GI21" s="6">
        <f t="shared" si="66"/>
        <v>71.171171171171167</v>
      </c>
      <c r="GJ21" s="10">
        <v>94</v>
      </c>
      <c r="GK21" s="10">
        <v>96</v>
      </c>
      <c r="GL21" s="10">
        <v>99</v>
      </c>
      <c r="GM21" s="6">
        <f t="shared" si="67"/>
        <v>96.333333333333329</v>
      </c>
      <c r="GN21" s="6">
        <f t="shared" si="68"/>
        <v>86.786786786786791</v>
      </c>
      <c r="GO21" s="10">
        <v>85</v>
      </c>
      <c r="GP21" s="15" t="s">
        <v>222</v>
      </c>
      <c r="GQ21" s="6"/>
      <c r="GR21" s="12"/>
      <c r="GS21" s="12">
        <f t="shared" si="72"/>
        <v>85.195400146515837</v>
      </c>
      <c r="GU21" s="12">
        <f t="shared" si="73"/>
        <v>80.87462462462463</v>
      </c>
      <c r="GV21" s="12">
        <f t="shared" si="69"/>
        <v>83.896396396396398</v>
      </c>
      <c r="GW21" s="12">
        <f t="shared" si="74"/>
        <v>3.0217717717717676</v>
      </c>
      <c r="GX21" s="12"/>
      <c r="GY21" s="12"/>
      <c r="GZ21" s="13">
        <f t="shared" si="75"/>
        <v>85.195400146515837</v>
      </c>
      <c r="HA21" s="6"/>
      <c r="HB21" s="10">
        <f t="shared" si="70"/>
        <v>0.71321321321322273</v>
      </c>
      <c r="HC21" s="6"/>
      <c r="HD21" s="10">
        <f t="shared" si="76"/>
        <v>85.716966966966964</v>
      </c>
      <c r="HE21" s="10">
        <f t="shared" si="71"/>
        <v>86.430180180180187</v>
      </c>
      <c r="HF21" s="10"/>
      <c r="HH21" s="10"/>
    </row>
    <row r="22" spans="1:216" ht="15.75" customHeight="1">
      <c r="A22" s="1" t="s">
        <v>229</v>
      </c>
      <c r="B22" s="10">
        <v>26</v>
      </c>
      <c r="C22" s="1" t="s">
        <v>203</v>
      </c>
      <c r="D22" s="10">
        <v>91</v>
      </c>
      <c r="E22" s="10">
        <v>187</v>
      </c>
      <c r="F22" s="10">
        <v>111</v>
      </c>
      <c r="G22" s="1" t="s">
        <v>204</v>
      </c>
      <c r="H22" s="1" t="s">
        <v>205</v>
      </c>
      <c r="I22" s="1" t="s">
        <v>204</v>
      </c>
      <c r="J22" s="1" t="s">
        <v>204</v>
      </c>
      <c r="K22" s="10">
        <v>12</v>
      </c>
      <c r="L22" s="1" t="s">
        <v>206</v>
      </c>
      <c r="M22" s="1" t="s">
        <v>207</v>
      </c>
      <c r="N22" s="10">
        <v>74</v>
      </c>
      <c r="O22" s="1">
        <v>76.5</v>
      </c>
      <c r="P22" s="1">
        <v>71.599999999999994</v>
      </c>
      <c r="Q22" s="6">
        <f t="shared" si="0"/>
        <v>74.033333333333331</v>
      </c>
      <c r="R22" s="1">
        <v>69.2</v>
      </c>
      <c r="S22" s="10">
        <v>69</v>
      </c>
      <c r="T22" s="1">
        <v>64.099999999999994</v>
      </c>
      <c r="U22" s="6">
        <f t="shared" si="1"/>
        <v>67.433333333333323</v>
      </c>
      <c r="V22" s="1">
        <v>137.30000000000001</v>
      </c>
      <c r="W22" s="1">
        <v>132.4</v>
      </c>
      <c r="X22" s="1">
        <v>127.1</v>
      </c>
      <c r="Y22" s="6">
        <f t="shared" si="2"/>
        <v>132.26666666666668</v>
      </c>
      <c r="Z22" s="1">
        <v>131.6</v>
      </c>
      <c r="AA22" s="1">
        <v>132.1</v>
      </c>
      <c r="AB22" s="1">
        <v>131.80000000000001</v>
      </c>
      <c r="AC22" s="6">
        <f t="shared" si="3"/>
        <v>131.83333333333334</v>
      </c>
      <c r="AD22" s="10">
        <v>0</v>
      </c>
      <c r="AE22" s="10">
        <v>1</v>
      </c>
      <c r="AF22" s="10">
        <v>1</v>
      </c>
      <c r="AG22" s="10">
        <v>0</v>
      </c>
      <c r="AH22" s="10">
        <v>0</v>
      </c>
      <c r="AI22" s="10">
        <v>0</v>
      </c>
      <c r="AJ22" s="10">
        <f t="shared" si="4"/>
        <v>2</v>
      </c>
      <c r="AK22" s="1">
        <v>98.5</v>
      </c>
      <c r="AL22" s="1">
        <v>99.5</v>
      </c>
      <c r="AM22" s="1">
        <v>100.5</v>
      </c>
      <c r="AN22" s="10">
        <f t="shared" si="5"/>
        <v>99.5</v>
      </c>
      <c r="AO22" s="10">
        <f t="shared" si="6"/>
        <v>89.63963963963964</v>
      </c>
      <c r="AP22" s="10">
        <v>102</v>
      </c>
      <c r="AQ22" s="1">
        <v>103.5</v>
      </c>
      <c r="AR22" s="10">
        <v>106</v>
      </c>
      <c r="AS22" s="6">
        <f t="shared" si="7"/>
        <v>103.83333333333333</v>
      </c>
      <c r="AT22" s="6">
        <f t="shared" si="8"/>
        <v>93.543543543543535</v>
      </c>
      <c r="AU22" s="10">
        <v>98</v>
      </c>
      <c r="AV22" s="10">
        <v>98</v>
      </c>
      <c r="AW22" s="10">
        <v>99</v>
      </c>
      <c r="AX22" s="6">
        <f t="shared" si="9"/>
        <v>98.333333333333329</v>
      </c>
      <c r="AY22" s="6">
        <f t="shared" si="10"/>
        <v>88.588588588588578</v>
      </c>
      <c r="AZ22" s="10">
        <v>68</v>
      </c>
      <c r="BA22" s="1">
        <v>72.5</v>
      </c>
      <c r="BB22" s="1">
        <v>78.5</v>
      </c>
      <c r="BC22" s="6">
        <f t="shared" si="11"/>
        <v>73</v>
      </c>
      <c r="BD22" s="10">
        <f t="shared" si="12"/>
        <v>65.765765765765778</v>
      </c>
      <c r="BE22" s="10">
        <v>102</v>
      </c>
      <c r="BF22" s="10">
        <v>103</v>
      </c>
      <c r="BG22" s="10">
        <v>104</v>
      </c>
      <c r="BH22" s="10">
        <f t="shared" si="13"/>
        <v>73</v>
      </c>
      <c r="BI22" s="10">
        <f t="shared" si="14"/>
        <v>65.765765765765778</v>
      </c>
      <c r="BJ22" s="10">
        <v>77</v>
      </c>
      <c r="BK22" s="10">
        <v>89</v>
      </c>
      <c r="BL22" s="10">
        <v>97</v>
      </c>
      <c r="BM22" s="10">
        <f t="shared" si="15"/>
        <v>87.666666666666671</v>
      </c>
      <c r="BN22" s="10">
        <f t="shared" si="16"/>
        <v>78.978978978978986</v>
      </c>
      <c r="BO22" s="10">
        <v>104</v>
      </c>
      <c r="BP22" s="10">
        <v>107</v>
      </c>
      <c r="BQ22" s="10">
        <v>105</v>
      </c>
      <c r="BR22" s="1">
        <f t="shared" si="17"/>
        <v>105.33333333333333</v>
      </c>
      <c r="BS22" s="1">
        <f t="shared" si="18"/>
        <v>94.89489489489489</v>
      </c>
      <c r="BT22" s="1">
        <v>101.5</v>
      </c>
      <c r="BU22" s="10">
        <v>101</v>
      </c>
      <c r="BV22" s="10">
        <v>99</v>
      </c>
      <c r="BW22" s="10">
        <f t="shared" si="19"/>
        <v>100.5</v>
      </c>
      <c r="BX22" s="10">
        <f t="shared" si="20"/>
        <v>90.540540540540533</v>
      </c>
      <c r="BY22" s="10">
        <v>100</v>
      </c>
      <c r="BZ22" s="10">
        <v>98</v>
      </c>
      <c r="CA22" s="10">
        <v>96</v>
      </c>
      <c r="CB22" s="10">
        <f t="shared" si="21"/>
        <v>98</v>
      </c>
      <c r="CC22" s="10">
        <f t="shared" si="22"/>
        <v>88.288288288288285</v>
      </c>
      <c r="CD22" s="10">
        <v>99</v>
      </c>
      <c r="CE22" s="10">
        <v>92</v>
      </c>
      <c r="CF22" s="10">
        <v>90</v>
      </c>
      <c r="CG22" s="1">
        <f t="shared" si="23"/>
        <v>93.666666666666671</v>
      </c>
      <c r="CH22" s="1">
        <f t="shared" si="24"/>
        <v>84.38438438438439</v>
      </c>
      <c r="CI22" s="1">
        <v>93.5</v>
      </c>
      <c r="CJ22" s="1">
        <v>96.5</v>
      </c>
      <c r="CK22" s="1">
        <v>101.5</v>
      </c>
      <c r="CL22" s="10">
        <f t="shared" si="25"/>
        <v>97.166666666666671</v>
      </c>
      <c r="CM22" s="10">
        <f t="shared" si="26"/>
        <v>87.537537537537546</v>
      </c>
      <c r="CN22" s="10">
        <v>102</v>
      </c>
      <c r="CO22" s="10">
        <v>103</v>
      </c>
      <c r="CP22" s="10">
        <v>104</v>
      </c>
      <c r="CQ22" s="1">
        <f t="shared" si="27"/>
        <v>103</v>
      </c>
      <c r="CR22" s="1">
        <f t="shared" si="28"/>
        <v>92.792792792792795</v>
      </c>
      <c r="CS22" s="10">
        <v>80</v>
      </c>
      <c r="CT22" s="10">
        <v>85</v>
      </c>
      <c r="CU22" s="1">
        <v>89.5</v>
      </c>
      <c r="CV22" s="10">
        <f t="shared" si="29"/>
        <v>84.833333333333329</v>
      </c>
      <c r="CW22" s="10">
        <f t="shared" si="30"/>
        <v>76.426426426426417</v>
      </c>
      <c r="CX22" s="1">
        <v>99.5</v>
      </c>
      <c r="CY22" s="10">
        <v>104</v>
      </c>
      <c r="CZ22" s="1">
        <v>108.5</v>
      </c>
      <c r="DA22" s="10">
        <f t="shared" si="31"/>
        <v>104</v>
      </c>
      <c r="DB22" s="10">
        <f t="shared" si="32"/>
        <v>93.693693693693689</v>
      </c>
      <c r="DC22" s="1">
        <v>88.5</v>
      </c>
      <c r="DD22" s="10">
        <v>93</v>
      </c>
      <c r="DE22" s="10">
        <v>95</v>
      </c>
      <c r="DF22" s="1">
        <f t="shared" si="33"/>
        <v>92.166666666666671</v>
      </c>
      <c r="DG22" s="1">
        <f t="shared" si="34"/>
        <v>83.033033033033036</v>
      </c>
      <c r="DH22" s="1">
        <v>96.5</v>
      </c>
      <c r="DI22" s="10">
        <v>97</v>
      </c>
      <c r="DJ22" s="10">
        <v>98</v>
      </c>
      <c r="DK22" s="10">
        <f t="shared" si="35"/>
        <v>97.166666666666671</v>
      </c>
      <c r="DL22" s="10">
        <f t="shared" si="36"/>
        <v>87.537537537537546</v>
      </c>
      <c r="DM22" s="10">
        <v>113</v>
      </c>
      <c r="DN22" s="10">
        <v>116</v>
      </c>
      <c r="DO22" s="10">
        <v>120</v>
      </c>
      <c r="DP22" s="6">
        <f t="shared" si="37"/>
        <v>116.33333333333333</v>
      </c>
      <c r="DQ22" s="10">
        <f t="shared" si="38"/>
        <v>104.8048048048048</v>
      </c>
      <c r="DR22" s="10">
        <v>101</v>
      </c>
      <c r="DS22" s="10">
        <v>108</v>
      </c>
      <c r="DT22" s="1">
        <v>109.5</v>
      </c>
      <c r="DU22" s="6">
        <f t="shared" si="39"/>
        <v>106.16666666666667</v>
      </c>
      <c r="DV22" s="1">
        <f t="shared" si="40"/>
        <v>95.645645645645644</v>
      </c>
      <c r="DW22" s="10">
        <v>102</v>
      </c>
      <c r="DX22" s="10">
        <v>103</v>
      </c>
      <c r="DY22" s="10">
        <v>107</v>
      </c>
      <c r="DZ22" s="6">
        <f t="shared" si="41"/>
        <v>104</v>
      </c>
      <c r="EA22" s="6">
        <f t="shared" si="42"/>
        <v>93.693693693693689</v>
      </c>
      <c r="EB22" s="10">
        <v>80</v>
      </c>
      <c r="EC22" s="10">
        <v>86</v>
      </c>
      <c r="ED22" s="1">
        <v>87.5</v>
      </c>
      <c r="EE22" s="6">
        <f t="shared" si="43"/>
        <v>84.5</v>
      </c>
      <c r="EF22" s="6">
        <f t="shared" si="44"/>
        <v>76.126126126126124</v>
      </c>
      <c r="EG22" s="10">
        <v>109</v>
      </c>
      <c r="EH22" s="10">
        <v>110</v>
      </c>
      <c r="EI22" s="1">
        <v>110.5</v>
      </c>
      <c r="EJ22" s="6">
        <f t="shared" si="45"/>
        <v>109.83333333333333</v>
      </c>
      <c r="EK22" s="6">
        <f t="shared" si="46"/>
        <v>98.948948948948939</v>
      </c>
      <c r="EL22" s="1">
        <v>91.5</v>
      </c>
      <c r="EM22" s="1">
        <v>96.5</v>
      </c>
      <c r="EN22" s="1">
        <v>101.5</v>
      </c>
      <c r="EO22" s="6">
        <f t="shared" si="47"/>
        <v>96.5</v>
      </c>
      <c r="EP22" s="6">
        <f t="shared" si="48"/>
        <v>86.936936936936931</v>
      </c>
      <c r="EQ22" s="10">
        <v>113</v>
      </c>
      <c r="ER22" s="10">
        <v>113</v>
      </c>
      <c r="ES22" s="10">
        <v>106</v>
      </c>
      <c r="ET22" s="6">
        <f t="shared" si="49"/>
        <v>110.66666666666667</v>
      </c>
      <c r="EU22" s="6">
        <f t="shared" si="50"/>
        <v>99.699699699699707</v>
      </c>
      <c r="EV22" s="10">
        <v>112</v>
      </c>
      <c r="EW22" s="10">
        <v>109</v>
      </c>
      <c r="EX22" s="1">
        <v>102.5</v>
      </c>
      <c r="EY22" s="6">
        <f t="shared" si="51"/>
        <v>107.83333333333333</v>
      </c>
      <c r="EZ22" s="6">
        <f t="shared" si="52"/>
        <v>97.147147147147138</v>
      </c>
      <c r="FA22" s="10">
        <v>99</v>
      </c>
      <c r="FB22" s="10">
        <v>96</v>
      </c>
      <c r="FC22" s="1">
        <v>94.5</v>
      </c>
      <c r="FD22" s="6">
        <f t="shared" si="53"/>
        <v>96.5</v>
      </c>
      <c r="FE22" s="6">
        <f t="shared" si="54"/>
        <v>86.936936936936931</v>
      </c>
      <c r="FF22" s="1">
        <v>103.5</v>
      </c>
      <c r="FG22" s="1">
        <v>101.5</v>
      </c>
      <c r="FH22" s="1">
        <v>99.5</v>
      </c>
      <c r="FI22" s="6">
        <f t="shared" si="55"/>
        <v>101.5</v>
      </c>
      <c r="FJ22" s="6">
        <f t="shared" si="56"/>
        <v>91.441441441441441</v>
      </c>
      <c r="FK22" s="1">
        <v>101.5</v>
      </c>
      <c r="FL22" s="1">
        <v>104.5</v>
      </c>
      <c r="FM22" s="1">
        <v>108.5</v>
      </c>
      <c r="FN22" s="6">
        <f t="shared" si="57"/>
        <v>104.83333333333333</v>
      </c>
      <c r="FO22" s="6">
        <f t="shared" si="58"/>
        <v>94.444444444444443</v>
      </c>
      <c r="FP22" s="10">
        <v>103</v>
      </c>
      <c r="FQ22" s="10">
        <v>107</v>
      </c>
      <c r="FR22" s="1">
        <v>111.5</v>
      </c>
      <c r="FS22" s="6">
        <f t="shared" si="59"/>
        <v>107.16666666666667</v>
      </c>
      <c r="FT22" s="6">
        <f t="shared" si="60"/>
        <v>96.546546546546551</v>
      </c>
      <c r="FU22" s="10">
        <v>95</v>
      </c>
      <c r="FV22" s="10">
        <v>98</v>
      </c>
      <c r="FW22" s="10">
        <v>98</v>
      </c>
      <c r="FX22" s="6">
        <f t="shared" si="61"/>
        <v>97</v>
      </c>
      <c r="FY22" s="6">
        <f t="shared" si="62"/>
        <v>87.387387387387378</v>
      </c>
      <c r="FZ22" s="10">
        <v>105</v>
      </c>
      <c r="GA22" s="10">
        <v>109</v>
      </c>
      <c r="GB22" s="10">
        <v>111</v>
      </c>
      <c r="GC22" s="6">
        <f t="shared" si="63"/>
        <v>108.33333333333333</v>
      </c>
      <c r="GD22" s="6">
        <f t="shared" si="64"/>
        <v>97.597597597597598</v>
      </c>
      <c r="GE22" s="1">
        <v>91.5</v>
      </c>
      <c r="GF22" s="1">
        <v>94.5</v>
      </c>
      <c r="GG22" s="10">
        <v>99</v>
      </c>
      <c r="GH22" s="6">
        <f t="shared" si="65"/>
        <v>95</v>
      </c>
      <c r="GI22" s="6">
        <f t="shared" si="66"/>
        <v>85.585585585585591</v>
      </c>
      <c r="GJ22" s="10">
        <v>99</v>
      </c>
      <c r="GK22" s="10">
        <v>102</v>
      </c>
      <c r="GL22" s="1">
        <v>104.5</v>
      </c>
      <c r="GM22" s="6">
        <f t="shared" si="67"/>
        <v>101.83333333333333</v>
      </c>
      <c r="GN22" s="6">
        <f t="shared" si="68"/>
        <v>91.741741741741734</v>
      </c>
      <c r="GO22" s="10">
        <v>85.4</v>
      </c>
      <c r="GP22" s="15" t="s">
        <v>222</v>
      </c>
      <c r="GQ22" s="6"/>
      <c r="GR22" s="12"/>
      <c r="GS22" s="12">
        <f t="shared" si="72"/>
        <v>85.663715085850072</v>
      </c>
      <c r="GU22" s="12">
        <f t="shared" si="73"/>
        <v>84.271771771771768</v>
      </c>
      <c r="GV22" s="12">
        <f t="shared" si="69"/>
        <v>85.904654654654649</v>
      </c>
      <c r="GW22" s="12">
        <f t="shared" si="74"/>
        <v>1.6328828828828819</v>
      </c>
      <c r="GX22" s="12"/>
      <c r="GY22" s="12"/>
      <c r="GZ22" s="13">
        <f t="shared" si="75"/>
        <v>85.663715085850072</v>
      </c>
      <c r="HA22" s="6"/>
      <c r="HB22" s="10">
        <f t="shared" si="70"/>
        <v>2.2897897897897792</v>
      </c>
      <c r="HC22" s="6"/>
      <c r="HD22" s="10">
        <f t="shared" si="76"/>
        <v>93.937687687687671</v>
      </c>
      <c r="HE22" s="10">
        <f t="shared" si="71"/>
        <v>91.647897897897892</v>
      </c>
      <c r="HF22" s="10"/>
      <c r="HH22" s="10"/>
    </row>
    <row r="23" spans="1:216" ht="15.75" customHeight="1">
      <c r="A23" s="1" t="s">
        <v>230</v>
      </c>
      <c r="B23" s="10">
        <v>32</v>
      </c>
      <c r="C23" s="1" t="s">
        <v>203</v>
      </c>
      <c r="D23" s="10">
        <v>90</v>
      </c>
      <c r="E23" s="10">
        <v>176</v>
      </c>
      <c r="F23" s="10">
        <v>101</v>
      </c>
      <c r="G23" s="1" t="s">
        <v>204</v>
      </c>
      <c r="H23" s="1" t="s">
        <v>205</v>
      </c>
      <c r="I23" s="1" t="s">
        <v>204</v>
      </c>
      <c r="J23" s="1" t="s">
        <v>204</v>
      </c>
      <c r="K23" s="10">
        <v>25</v>
      </c>
      <c r="L23" s="1" t="s">
        <v>206</v>
      </c>
      <c r="M23" s="1" t="s">
        <v>207</v>
      </c>
      <c r="N23" s="1">
        <v>77.5</v>
      </c>
      <c r="O23" s="1">
        <v>74.099999999999994</v>
      </c>
      <c r="P23" s="1">
        <v>79.099999999999994</v>
      </c>
      <c r="Q23" s="6">
        <f t="shared" si="0"/>
        <v>76.899999999999991</v>
      </c>
      <c r="R23" s="10">
        <v>80</v>
      </c>
      <c r="S23" s="1">
        <v>74.099999999999994</v>
      </c>
      <c r="T23" s="1">
        <v>70.599999999999994</v>
      </c>
      <c r="U23" s="6">
        <f t="shared" si="1"/>
        <v>74.899999999999991</v>
      </c>
      <c r="V23" s="1">
        <v>124.9</v>
      </c>
      <c r="W23" s="1">
        <v>129.69999999999999</v>
      </c>
      <c r="X23" s="10">
        <v>130</v>
      </c>
      <c r="Y23" s="6">
        <f t="shared" si="2"/>
        <v>128.20000000000002</v>
      </c>
      <c r="Z23" s="10">
        <v>125</v>
      </c>
      <c r="AA23" s="1">
        <v>127.1</v>
      </c>
      <c r="AB23" s="1">
        <v>136.9</v>
      </c>
      <c r="AC23" s="6">
        <f t="shared" si="3"/>
        <v>129.66666666666666</v>
      </c>
      <c r="AD23" s="10">
        <v>0</v>
      </c>
      <c r="AE23" s="10">
        <v>0</v>
      </c>
      <c r="AF23" s="10">
        <v>0</v>
      </c>
      <c r="AG23" s="10">
        <v>0</v>
      </c>
      <c r="AH23" s="10">
        <v>4</v>
      </c>
      <c r="AI23" s="10">
        <v>1</v>
      </c>
      <c r="AJ23" s="10">
        <f t="shared" si="4"/>
        <v>5</v>
      </c>
      <c r="AK23" s="1">
        <v>91.5</v>
      </c>
      <c r="AL23" s="10">
        <v>94</v>
      </c>
      <c r="AM23" s="1">
        <v>97.5</v>
      </c>
      <c r="AN23" s="10">
        <f t="shared" si="5"/>
        <v>94.333333333333329</v>
      </c>
      <c r="AO23" s="10">
        <f t="shared" si="6"/>
        <v>93.399339933993403</v>
      </c>
      <c r="AP23" s="10">
        <v>97</v>
      </c>
      <c r="AQ23" s="1">
        <v>100.5</v>
      </c>
      <c r="AR23" s="1">
        <v>104.5</v>
      </c>
      <c r="AS23" s="6">
        <f t="shared" si="7"/>
        <v>100.66666666666667</v>
      </c>
      <c r="AT23" s="6">
        <f t="shared" si="8"/>
        <v>99.669966996699671</v>
      </c>
      <c r="AU23" s="1">
        <v>80.5</v>
      </c>
      <c r="AV23" s="10">
        <v>87</v>
      </c>
      <c r="AW23" s="10">
        <v>87</v>
      </c>
      <c r="AX23" s="6">
        <f t="shared" si="9"/>
        <v>84.833333333333329</v>
      </c>
      <c r="AY23" s="6">
        <f t="shared" si="10"/>
        <v>83.993399339934001</v>
      </c>
      <c r="AZ23" s="10">
        <v>72</v>
      </c>
      <c r="BA23" s="1">
        <v>80.5</v>
      </c>
      <c r="BB23" s="10">
        <v>80</v>
      </c>
      <c r="BC23" s="6">
        <f t="shared" si="11"/>
        <v>77.5</v>
      </c>
      <c r="BD23" s="10">
        <f t="shared" si="12"/>
        <v>76.732673267326732</v>
      </c>
      <c r="BE23" s="10">
        <v>86</v>
      </c>
      <c r="BF23" s="1">
        <v>87.5</v>
      </c>
      <c r="BG23" s="10">
        <v>92</v>
      </c>
      <c r="BH23" s="10">
        <f t="shared" si="13"/>
        <v>77.5</v>
      </c>
      <c r="BI23" s="10">
        <f t="shared" si="14"/>
        <v>76.732673267326732</v>
      </c>
      <c r="BJ23" s="10">
        <v>57</v>
      </c>
      <c r="BK23" s="10">
        <v>61</v>
      </c>
      <c r="BL23" s="10">
        <v>63</v>
      </c>
      <c r="BM23" s="10">
        <f t="shared" si="15"/>
        <v>60.333333333333336</v>
      </c>
      <c r="BN23" s="10">
        <f t="shared" si="16"/>
        <v>59.735973597359738</v>
      </c>
      <c r="BO23" s="10">
        <v>86</v>
      </c>
      <c r="BP23" s="10">
        <v>97</v>
      </c>
      <c r="BQ23" s="10">
        <v>92</v>
      </c>
      <c r="BR23" s="1">
        <f t="shared" si="17"/>
        <v>91.666666666666671</v>
      </c>
      <c r="BS23" s="1">
        <f t="shared" si="18"/>
        <v>90.759075907590756</v>
      </c>
      <c r="BT23" s="10">
        <v>79</v>
      </c>
      <c r="BU23" s="1">
        <v>82.5</v>
      </c>
      <c r="BV23" s="1">
        <v>84.5</v>
      </c>
      <c r="BW23" s="10">
        <f t="shared" si="19"/>
        <v>82</v>
      </c>
      <c r="BX23" s="10">
        <f t="shared" si="20"/>
        <v>81.188118811881196</v>
      </c>
      <c r="BY23" s="10">
        <v>71</v>
      </c>
      <c r="BZ23" s="1">
        <v>75.5</v>
      </c>
      <c r="CA23" s="1">
        <v>76.5</v>
      </c>
      <c r="CB23" s="10">
        <f t="shared" si="21"/>
        <v>74.333333333333329</v>
      </c>
      <c r="CC23" s="10">
        <f t="shared" si="22"/>
        <v>73.597359735973583</v>
      </c>
      <c r="CD23" s="10">
        <v>71</v>
      </c>
      <c r="CE23" s="1">
        <v>76.5</v>
      </c>
      <c r="CF23" s="1">
        <v>78.5</v>
      </c>
      <c r="CG23" s="1">
        <f t="shared" si="23"/>
        <v>75.333333333333329</v>
      </c>
      <c r="CH23" s="1">
        <f t="shared" si="24"/>
        <v>74.587458745874585</v>
      </c>
      <c r="CI23" s="10">
        <v>74</v>
      </c>
      <c r="CJ23" s="10">
        <v>78</v>
      </c>
      <c r="CK23" s="10">
        <v>79</v>
      </c>
      <c r="CL23" s="10">
        <f t="shared" si="25"/>
        <v>77</v>
      </c>
      <c r="CM23" s="10">
        <f t="shared" si="26"/>
        <v>76.237623762376245</v>
      </c>
      <c r="CN23" s="1">
        <v>92.5</v>
      </c>
      <c r="CO23" s="10">
        <v>95</v>
      </c>
      <c r="CP23" s="10">
        <v>97</v>
      </c>
      <c r="CQ23" s="1">
        <f t="shared" si="27"/>
        <v>94.833333333333329</v>
      </c>
      <c r="CR23" s="1">
        <f t="shared" si="28"/>
        <v>93.89438943894389</v>
      </c>
      <c r="CS23" s="1">
        <v>68.5</v>
      </c>
      <c r="CT23" s="10">
        <v>73</v>
      </c>
      <c r="CU23" s="10">
        <v>79</v>
      </c>
      <c r="CV23" s="10">
        <f t="shared" si="29"/>
        <v>73.5</v>
      </c>
      <c r="CW23" s="10">
        <f t="shared" si="30"/>
        <v>72.772277227722768</v>
      </c>
      <c r="CX23" s="1">
        <v>88.5</v>
      </c>
      <c r="CY23" s="10">
        <v>91</v>
      </c>
      <c r="CZ23" s="10">
        <v>92</v>
      </c>
      <c r="DA23" s="10">
        <f t="shared" si="31"/>
        <v>90.5</v>
      </c>
      <c r="DB23" s="10">
        <f t="shared" si="32"/>
        <v>89.603960396039611</v>
      </c>
      <c r="DC23" s="10">
        <v>71</v>
      </c>
      <c r="DD23" s="1">
        <v>72.5</v>
      </c>
      <c r="DE23" s="10">
        <v>76</v>
      </c>
      <c r="DF23" s="1">
        <f t="shared" si="33"/>
        <v>73.166666666666671</v>
      </c>
      <c r="DG23" s="1">
        <f t="shared" si="34"/>
        <v>72.442244224422453</v>
      </c>
      <c r="DH23" s="10">
        <v>87</v>
      </c>
      <c r="DI23" s="1">
        <v>88.5</v>
      </c>
      <c r="DJ23" s="10">
        <v>89</v>
      </c>
      <c r="DK23" s="10">
        <f t="shared" si="35"/>
        <v>88.166666666666671</v>
      </c>
      <c r="DL23" s="10">
        <f t="shared" si="36"/>
        <v>87.293729372937307</v>
      </c>
      <c r="DM23" s="10">
        <v>105</v>
      </c>
      <c r="DN23" s="10">
        <v>106</v>
      </c>
      <c r="DO23" s="10">
        <v>107</v>
      </c>
      <c r="DP23" s="6">
        <f t="shared" si="37"/>
        <v>106</v>
      </c>
      <c r="DQ23" s="10">
        <f t="shared" si="38"/>
        <v>104.95049504950495</v>
      </c>
      <c r="DR23" s="10">
        <v>106</v>
      </c>
      <c r="DS23" s="1">
        <v>111.5</v>
      </c>
      <c r="DT23" s="10">
        <v>114</v>
      </c>
      <c r="DU23" s="6">
        <f t="shared" si="39"/>
        <v>110.5</v>
      </c>
      <c r="DV23" s="1">
        <f t="shared" si="40"/>
        <v>109.40594059405942</v>
      </c>
      <c r="DW23" s="10">
        <v>77</v>
      </c>
      <c r="DX23" s="1">
        <v>83.5</v>
      </c>
      <c r="DY23" s="10">
        <v>88</v>
      </c>
      <c r="DZ23" s="6">
        <f t="shared" si="41"/>
        <v>82.833333333333329</v>
      </c>
      <c r="EA23" s="6">
        <f t="shared" si="42"/>
        <v>82.013201320132012</v>
      </c>
      <c r="EB23" s="10">
        <v>80</v>
      </c>
      <c r="EC23" s="1">
        <v>85.5</v>
      </c>
      <c r="ED23" s="1">
        <v>86.5</v>
      </c>
      <c r="EE23" s="6">
        <f t="shared" si="43"/>
        <v>84</v>
      </c>
      <c r="EF23" s="6">
        <f t="shared" si="44"/>
        <v>83.168316831683171</v>
      </c>
      <c r="EG23" s="10">
        <v>92</v>
      </c>
      <c r="EH23" s="10">
        <v>97</v>
      </c>
      <c r="EI23" s="10">
        <v>88</v>
      </c>
      <c r="EJ23" s="6">
        <f t="shared" si="45"/>
        <v>92.333333333333329</v>
      </c>
      <c r="EK23" s="6">
        <f t="shared" si="46"/>
        <v>91.419141914191414</v>
      </c>
      <c r="EL23" s="10">
        <v>68</v>
      </c>
      <c r="EM23" s="10">
        <v>70</v>
      </c>
      <c r="EN23" s="10">
        <v>71</v>
      </c>
      <c r="EO23" s="6">
        <f t="shared" si="47"/>
        <v>69.666666666666671</v>
      </c>
      <c r="EP23" s="6">
        <f t="shared" si="48"/>
        <v>68.976897689768975</v>
      </c>
      <c r="EQ23" s="10">
        <v>92</v>
      </c>
      <c r="ER23" s="1">
        <v>96.5</v>
      </c>
      <c r="ES23" s="1">
        <v>98.5</v>
      </c>
      <c r="ET23" s="6">
        <f t="shared" si="49"/>
        <v>95.666666666666671</v>
      </c>
      <c r="EU23" s="6">
        <f t="shared" si="50"/>
        <v>94.71947194719472</v>
      </c>
      <c r="EV23" s="1">
        <v>87.5</v>
      </c>
      <c r="EW23" s="1">
        <v>91.5</v>
      </c>
      <c r="EX23" s="1">
        <v>91.5</v>
      </c>
      <c r="EY23" s="6">
        <f t="shared" si="51"/>
        <v>90.166666666666671</v>
      </c>
      <c r="EZ23" s="6">
        <f t="shared" si="52"/>
        <v>89.273927392739282</v>
      </c>
      <c r="FA23" s="10">
        <v>72</v>
      </c>
      <c r="FB23" s="10">
        <v>73</v>
      </c>
      <c r="FC23" s="10">
        <v>79</v>
      </c>
      <c r="FD23" s="6">
        <f t="shared" si="53"/>
        <v>74.666666666666671</v>
      </c>
      <c r="FE23" s="6">
        <f t="shared" si="54"/>
        <v>73.927392739273927</v>
      </c>
      <c r="FF23" s="1">
        <v>73.5</v>
      </c>
      <c r="FG23" s="1">
        <v>76.5</v>
      </c>
      <c r="FH23" s="10">
        <v>87</v>
      </c>
      <c r="FI23" s="6">
        <f t="shared" si="55"/>
        <v>79</v>
      </c>
      <c r="FJ23" s="6">
        <f t="shared" si="56"/>
        <v>78.21782178217822</v>
      </c>
      <c r="FK23" s="10">
        <v>76</v>
      </c>
      <c r="FL23" s="10">
        <v>81</v>
      </c>
      <c r="FM23" s="10">
        <v>82</v>
      </c>
      <c r="FN23" s="6">
        <f t="shared" si="57"/>
        <v>79.666666666666671</v>
      </c>
      <c r="FO23" s="6">
        <f t="shared" si="58"/>
        <v>78.877887788778878</v>
      </c>
      <c r="FP23" s="10">
        <v>91</v>
      </c>
      <c r="FQ23" s="10">
        <v>94</v>
      </c>
      <c r="FR23" s="10">
        <v>97</v>
      </c>
      <c r="FS23" s="6">
        <f t="shared" si="59"/>
        <v>94</v>
      </c>
      <c r="FT23" s="6">
        <f t="shared" si="60"/>
        <v>93.069306930693074</v>
      </c>
      <c r="FU23" s="10">
        <v>80</v>
      </c>
      <c r="FV23" s="10">
        <v>82</v>
      </c>
      <c r="FW23" s="10">
        <v>83</v>
      </c>
      <c r="FX23" s="6">
        <f t="shared" si="61"/>
        <v>81.666666666666671</v>
      </c>
      <c r="FY23" s="6">
        <f t="shared" si="62"/>
        <v>80.858085808580853</v>
      </c>
      <c r="FZ23" s="10">
        <v>98</v>
      </c>
      <c r="GA23" s="1">
        <v>99.5</v>
      </c>
      <c r="GB23" s="10">
        <v>101</v>
      </c>
      <c r="GC23" s="6">
        <f t="shared" si="63"/>
        <v>99.5</v>
      </c>
      <c r="GD23" s="6">
        <f t="shared" si="64"/>
        <v>98.514851485148512</v>
      </c>
      <c r="GE23" s="1">
        <v>82.5</v>
      </c>
      <c r="GF23" s="10">
        <v>83</v>
      </c>
      <c r="GG23" s="1">
        <v>85.5</v>
      </c>
      <c r="GH23" s="6">
        <f t="shared" si="65"/>
        <v>83.666666666666671</v>
      </c>
      <c r="GI23" s="6">
        <f t="shared" si="66"/>
        <v>82.838283828382842</v>
      </c>
      <c r="GJ23" s="1">
        <v>90.5</v>
      </c>
      <c r="GK23" s="10">
        <v>93</v>
      </c>
      <c r="GL23" s="10">
        <v>93</v>
      </c>
      <c r="GM23" s="6">
        <f t="shared" si="67"/>
        <v>92.166666666666671</v>
      </c>
      <c r="GN23" s="6">
        <f t="shared" si="68"/>
        <v>91.254125412541256</v>
      </c>
      <c r="GO23" s="10">
        <v>87</v>
      </c>
      <c r="GP23" s="15" t="s">
        <v>222</v>
      </c>
      <c r="GQ23" s="6"/>
      <c r="GR23" s="12"/>
      <c r="GS23" s="12">
        <f t="shared" si="72"/>
        <v>85.778815460377444</v>
      </c>
      <c r="GU23" s="12">
        <f t="shared" si="73"/>
        <v>79.991749174917487</v>
      </c>
      <c r="GV23" s="12">
        <f t="shared" si="69"/>
        <v>82.838283828382842</v>
      </c>
      <c r="GW23" s="12">
        <f t="shared" si="74"/>
        <v>2.8465346534653548</v>
      </c>
      <c r="GX23" s="12"/>
      <c r="GY23" s="12"/>
      <c r="GZ23" s="13">
        <f t="shared" si="75"/>
        <v>85.778815460377444</v>
      </c>
      <c r="HA23" s="6"/>
      <c r="HB23" s="10">
        <f t="shared" si="70"/>
        <v>2.7846534653465369</v>
      </c>
      <c r="HC23" s="6"/>
      <c r="HD23" s="10">
        <f t="shared" si="76"/>
        <v>86.200495049504951</v>
      </c>
      <c r="HE23" s="10">
        <f t="shared" si="71"/>
        <v>88.985148514851488</v>
      </c>
      <c r="HF23" s="10"/>
      <c r="HH23" s="10"/>
    </row>
    <row r="24" spans="1:216" ht="15.75" customHeight="1">
      <c r="A24" s="1" t="s">
        <v>231</v>
      </c>
      <c r="B24" s="10">
        <v>18</v>
      </c>
      <c r="C24" s="1" t="s">
        <v>203</v>
      </c>
      <c r="D24" s="10">
        <v>70</v>
      </c>
      <c r="E24" s="10">
        <v>175</v>
      </c>
      <c r="F24" s="10">
        <v>99</v>
      </c>
      <c r="G24" s="1" t="s">
        <v>204</v>
      </c>
      <c r="H24" s="1" t="s">
        <v>205</v>
      </c>
      <c r="I24" s="1" t="s">
        <v>204</v>
      </c>
      <c r="J24" s="1" t="s">
        <v>204</v>
      </c>
      <c r="K24" s="10">
        <v>9</v>
      </c>
      <c r="L24" s="1" t="s">
        <v>206</v>
      </c>
      <c r="M24" s="1" t="s">
        <v>207</v>
      </c>
      <c r="N24" s="1">
        <v>67.2</v>
      </c>
      <c r="O24" s="1">
        <v>77.8</v>
      </c>
      <c r="P24" s="1">
        <v>75.099999999999994</v>
      </c>
      <c r="Q24" s="6">
        <f t="shared" si="0"/>
        <v>73.36666666666666</v>
      </c>
      <c r="R24" s="1">
        <v>68.099999999999994</v>
      </c>
      <c r="S24" s="1">
        <v>63.8</v>
      </c>
      <c r="T24" s="10">
        <v>60</v>
      </c>
      <c r="U24" s="6">
        <f t="shared" si="1"/>
        <v>63.966666666666661</v>
      </c>
      <c r="V24" s="1">
        <v>125.9</v>
      </c>
      <c r="W24" s="1">
        <v>129.19999999999999</v>
      </c>
      <c r="X24" s="10">
        <v>131</v>
      </c>
      <c r="Y24" s="6">
        <f t="shared" si="2"/>
        <v>128.70000000000002</v>
      </c>
      <c r="Z24" s="1">
        <v>147.69999999999999</v>
      </c>
      <c r="AA24" s="1">
        <v>131.19999999999999</v>
      </c>
      <c r="AB24" s="1">
        <v>131.30000000000001</v>
      </c>
      <c r="AC24" s="6">
        <f t="shared" si="3"/>
        <v>136.73333333333332</v>
      </c>
      <c r="AD24" s="10">
        <v>0</v>
      </c>
      <c r="AE24" s="10">
        <v>2</v>
      </c>
      <c r="AF24" s="10">
        <v>0</v>
      </c>
      <c r="AG24" s="10">
        <v>0</v>
      </c>
      <c r="AH24" s="10">
        <v>6</v>
      </c>
      <c r="AI24" s="10">
        <v>0</v>
      </c>
      <c r="AJ24" s="10">
        <f t="shared" si="4"/>
        <v>8</v>
      </c>
      <c r="AK24" s="1">
        <v>94.5</v>
      </c>
      <c r="AL24" s="1">
        <v>98.5</v>
      </c>
      <c r="AM24" s="10">
        <v>102</v>
      </c>
      <c r="AN24" s="10">
        <f t="shared" si="5"/>
        <v>98.333333333333329</v>
      </c>
      <c r="AO24" s="10">
        <f t="shared" si="6"/>
        <v>99.326599326599322</v>
      </c>
      <c r="AP24" s="10">
        <v>106</v>
      </c>
      <c r="AQ24" s="10">
        <v>109</v>
      </c>
      <c r="AR24" s="10">
        <v>110</v>
      </c>
      <c r="AS24" s="6">
        <f t="shared" si="7"/>
        <v>108.33333333333333</v>
      </c>
      <c r="AT24" s="6">
        <f t="shared" si="8"/>
        <v>109.42760942760943</v>
      </c>
      <c r="AU24" s="10">
        <v>95</v>
      </c>
      <c r="AV24" s="10">
        <v>96</v>
      </c>
      <c r="AW24" s="10">
        <v>99</v>
      </c>
      <c r="AX24" s="6">
        <f t="shared" si="9"/>
        <v>96.666666666666671</v>
      </c>
      <c r="AY24" s="6">
        <f t="shared" si="10"/>
        <v>97.643097643097647</v>
      </c>
      <c r="AZ24" s="10">
        <v>87</v>
      </c>
      <c r="BA24" s="1">
        <v>89.5</v>
      </c>
      <c r="BB24" s="1">
        <v>90.5</v>
      </c>
      <c r="BC24" s="6">
        <f t="shared" si="11"/>
        <v>89</v>
      </c>
      <c r="BD24" s="10">
        <f t="shared" si="12"/>
        <v>89.898989898989896</v>
      </c>
      <c r="BE24" s="10">
        <v>102</v>
      </c>
      <c r="BF24" s="10">
        <v>103</v>
      </c>
      <c r="BG24" s="10">
        <v>108</v>
      </c>
      <c r="BH24" s="10">
        <f t="shared" si="13"/>
        <v>89</v>
      </c>
      <c r="BI24" s="10">
        <f t="shared" si="14"/>
        <v>89.898989898989896</v>
      </c>
      <c r="BJ24" s="10">
        <v>63</v>
      </c>
      <c r="BK24" s="10">
        <v>65</v>
      </c>
      <c r="BL24" s="10">
        <v>71</v>
      </c>
      <c r="BM24" s="10">
        <f t="shared" si="15"/>
        <v>66.333333333333329</v>
      </c>
      <c r="BN24" s="10">
        <f t="shared" si="16"/>
        <v>67.003367003367003</v>
      </c>
      <c r="BO24" s="1">
        <v>87.5</v>
      </c>
      <c r="BP24" s="1">
        <v>88.5</v>
      </c>
      <c r="BQ24" s="1">
        <v>95.5</v>
      </c>
      <c r="BR24" s="1">
        <f t="shared" si="17"/>
        <v>90.5</v>
      </c>
      <c r="BS24" s="1">
        <f t="shared" si="18"/>
        <v>91.414141414141412</v>
      </c>
      <c r="BT24" s="10">
        <v>75</v>
      </c>
      <c r="BU24" s="10">
        <v>75</v>
      </c>
      <c r="BV24" s="10">
        <v>80</v>
      </c>
      <c r="BW24" s="10">
        <f t="shared" si="19"/>
        <v>76.666666666666671</v>
      </c>
      <c r="BX24" s="10">
        <f t="shared" si="20"/>
        <v>77.441077441077439</v>
      </c>
      <c r="BY24" s="10">
        <v>85</v>
      </c>
      <c r="BZ24" s="10">
        <v>85</v>
      </c>
      <c r="CA24" s="1">
        <v>87.5</v>
      </c>
      <c r="CB24" s="10">
        <f t="shared" si="21"/>
        <v>85.833333333333329</v>
      </c>
      <c r="CC24" s="10">
        <f t="shared" si="22"/>
        <v>86.700336700336706</v>
      </c>
      <c r="CD24" s="10">
        <v>80</v>
      </c>
      <c r="CE24" s="10">
        <v>82</v>
      </c>
      <c r="CF24" s="10">
        <v>84</v>
      </c>
      <c r="CG24" s="1">
        <f t="shared" si="23"/>
        <v>82</v>
      </c>
      <c r="CH24" s="1">
        <f t="shared" si="24"/>
        <v>82.828282828282823</v>
      </c>
      <c r="CI24" s="10">
        <v>78</v>
      </c>
      <c r="CJ24" s="10">
        <v>92</v>
      </c>
      <c r="CK24" s="10">
        <v>93</v>
      </c>
      <c r="CL24" s="10">
        <f t="shared" si="25"/>
        <v>87.666666666666671</v>
      </c>
      <c r="CM24" s="10">
        <f t="shared" si="26"/>
        <v>88.552188552188554</v>
      </c>
      <c r="CN24" s="10">
        <v>97</v>
      </c>
      <c r="CO24" s="10">
        <v>100</v>
      </c>
      <c r="CP24" s="10">
        <v>103</v>
      </c>
      <c r="CQ24" s="1">
        <f t="shared" si="27"/>
        <v>100</v>
      </c>
      <c r="CR24" s="1">
        <f t="shared" si="28"/>
        <v>101.01010101010101</v>
      </c>
      <c r="CS24" s="1">
        <v>74.5</v>
      </c>
      <c r="CT24" s="1">
        <v>78.5</v>
      </c>
      <c r="CU24" s="10">
        <v>85</v>
      </c>
      <c r="CV24" s="10">
        <f t="shared" si="29"/>
        <v>79.333333333333329</v>
      </c>
      <c r="CW24" s="10">
        <f t="shared" si="30"/>
        <v>80.134680134680124</v>
      </c>
      <c r="CX24" s="10">
        <v>99</v>
      </c>
      <c r="CY24" s="10">
        <v>101</v>
      </c>
      <c r="CZ24" s="10">
        <v>104</v>
      </c>
      <c r="DA24" s="10">
        <f t="shared" si="31"/>
        <v>101.33333333333333</v>
      </c>
      <c r="DB24" s="10">
        <f t="shared" si="32"/>
        <v>102.35690235690235</v>
      </c>
      <c r="DC24" s="10">
        <v>98</v>
      </c>
      <c r="DD24" s="10">
        <v>102</v>
      </c>
      <c r="DE24" s="10">
        <v>103</v>
      </c>
      <c r="DF24" s="1">
        <f t="shared" si="33"/>
        <v>101</v>
      </c>
      <c r="DG24" s="1">
        <f t="shared" si="34"/>
        <v>102.02020202020201</v>
      </c>
      <c r="DH24" s="10">
        <v>94</v>
      </c>
      <c r="DI24" s="10">
        <v>96</v>
      </c>
      <c r="DJ24" s="10">
        <v>97</v>
      </c>
      <c r="DK24" s="10">
        <f t="shared" si="35"/>
        <v>95.666666666666671</v>
      </c>
      <c r="DL24" s="10">
        <f t="shared" si="36"/>
        <v>96.632996632996637</v>
      </c>
      <c r="DM24" s="10">
        <v>115</v>
      </c>
      <c r="DN24" s="10">
        <v>116</v>
      </c>
      <c r="DO24" s="10">
        <v>120</v>
      </c>
      <c r="DP24" s="6">
        <f t="shared" si="37"/>
        <v>117</v>
      </c>
      <c r="DQ24" s="10">
        <f t="shared" si="38"/>
        <v>118.18181818181819</v>
      </c>
      <c r="DR24" s="10">
        <v>115</v>
      </c>
      <c r="DS24" s="10">
        <v>117</v>
      </c>
      <c r="DT24" s="10">
        <v>122</v>
      </c>
      <c r="DU24" s="6">
        <f t="shared" si="39"/>
        <v>118</v>
      </c>
      <c r="DV24" s="1">
        <f t="shared" si="40"/>
        <v>119.19191919191918</v>
      </c>
      <c r="DW24" s="1">
        <v>88.5</v>
      </c>
      <c r="DX24" s="1">
        <v>89.5</v>
      </c>
      <c r="DY24" s="1">
        <v>93.5</v>
      </c>
      <c r="DZ24" s="6">
        <f t="shared" si="41"/>
        <v>90.5</v>
      </c>
      <c r="EA24" s="6">
        <f t="shared" si="42"/>
        <v>91.414141414141412</v>
      </c>
      <c r="EB24" s="1">
        <v>85.5</v>
      </c>
      <c r="EC24" s="1">
        <v>85.5</v>
      </c>
      <c r="ED24" s="1">
        <v>87.5</v>
      </c>
      <c r="EE24" s="6">
        <f t="shared" si="43"/>
        <v>86.166666666666671</v>
      </c>
      <c r="EF24" s="6">
        <f t="shared" si="44"/>
        <v>87.037037037037052</v>
      </c>
      <c r="EG24" s="10">
        <v>90</v>
      </c>
      <c r="EH24" s="10">
        <v>90</v>
      </c>
      <c r="EI24" s="10">
        <v>91</v>
      </c>
      <c r="EJ24" s="6">
        <f t="shared" si="45"/>
        <v>90.333333333333329</v>
      </c>
      <c r="EK24" s="6">
        <f t="shared" si="46"/>
        <v>91.245791245791239</v>
      </c>
      <c r="EL24" s="10">
        <v>67</v>
      </c>
      <c r="EM24" s="10">
        <v>68</v>
      </c>
      <c r="EN24" s="10">
        <v>79</v>
      </c>
      <c r="EO24" s="6">
        <f t="shared" si="47"/>
        <v>71.333333333333329</v>
      </c>
      <c r="EP24" s="6">
        <f t="shared" si="48"/>
        <v>72.053872053872041</v>
      </c>
      <c r="EQ24" s="10">
        <v>95</v>
      </c>
      <c r="ER24" s="1">
        <v>98.5</v>
      </c>
      <c r="ES24" s="10">
        <v>98</v>
      </c>
      <c r="ET24" s="6">
        <f t="shared" si="49"/>
        <v>97.166666666666671</v>
      </c>
      <c r="EU24" s="6">
        <f t="shared" si="50"/>
        <v>98.148148148148152</v>
      </c>
      <c r="EV24" s="10">
        <v>81</v>
      </c>
      <c r="EW24" s="10">
        <v>83</v>
      </c>
      <c r="EX24" s="10">
        <v>89</v>
      </c>
      <c r="EY24" s="6">
        <f t="shared" si="51"/>
        <v>84.333333333333329</v>
      </c>
      <c r="EZ24" s="6">
        <f t="shared" si="52"/>
        <v>85.185185185185176</v>
      </c>
      <c r="FA24" s="10">
        <v>87</v>
      </c>
      <c r="FB24" s="1">
        <v>88.5</v>
      </c>
      <c r="FC24" s="1">
        <v>89.5</v>
      </c>
      <c r="FD24" s="6">
        <f t="shared" si="53"/>
        <v>88.333333333333329</v>
      </c>
      <c r="FE24" s="6">
        <f t="shared" si="54"/>
        <v>89.225589225589218</v>
      </c>
      <c r="FF24" s="1">
        <v>84.5</v>
      </c>
      <c r="FG24" s="10">
        <v>87</v>
      </c>
      <c r="FH24" s="1">
        <v>88.5</v>
      </c>
      <c r="FI24" s="6">
        <f t="shared" si="55"/>
        <v>86.666666666666671</v>
      </c>
      <c r="FJ24" s="6">
        <f t="shared" si="56"/>
        <v>87.542087542087543</v>
      </c>
      <c r="FK24" s="10">
        <v>88</v>
      </c>
      <c r="FL24" s="1">
        <v>88.5</v>
      </c>
      <c r="FM24" s="1">
        <v>89.5</v>
      </c>
      <c r="FN24" s="6">
        <f t="shared" si="57"/>
        <v>88.666666666666671</v>
      </c>
      <c r="FO24" s="6">
        <f t="shared" si="58"/>
        <v>89.562289562289564</v>
      </c>
      <c r="FP24" s="10">
        <v>96</v>
      </c>
      <c r="FQ24" s="1">
        <v>99.5</v>
      </c>
      <c r="FR24" s="1">
        <v>104.5</v>
      </c>
      <c r="FS24" s="6">
        <f t="shared" si="59"/>
        <v>100</v>
      </c>
      <c r="FT24" s="6">
        <f t="shared" si="60"/>
        <v>101.01010101010101</v>
      </c>
      <c r="FU24" s="10">
        <v>81</v>
      </c>
      <c r="FV24" s="1">
        <v>83.5</v>
      </c>
      <c r="FW24" s="10">
        <v>84</v>
      </c>
      <c r="FX24" s="6">
        <f t="shared" si="61"/>
        <v>82.833333333333329</v>
      </c>
      <c r="FY24" s="6">
        <f t="shared" si="62"/>
        <v>83.670033670033661</v>
      </c>
      <c r="FZ24" s="1">
        <v>99.5</v>
      </c>
      <c r="GA24" s="10">
        <v>100</v>
      </c>
      <c r="GB24" s="10">
        <v>102</v>
      </c>
      <c r="GC24" s="6">
        <f t="shared" si="63"/>
        <v>100.5</v>
      </c>
      <c r="GD24" s="6">
        <f t="shared" si="64"/>
        <v>101.51515151515152</v>
      </c>
      <c r="GE24" s="10">
        <v>91</v>
      </c>
      <c r="GF24" s="10">
        <v>91</v>
      </c>
      <c r="GG24" s="10">
        <v>87</v>
      </c>
      <c r="GH24" s="6">
        <f t="shared" si="65"/>
        <v>89.666666666666671</v>
      </c>
      <c r="GI24" s="6">
        <f t="shared" si="66"/>
        <v>90.572390572390589</v>
      </c>
      <c r="GJ24" s="10">
        <v>96</v>
      </c>
      <c r="GK24" s="10">
        <v>97</v>
      </c>
      <c r="GL24" s="10">
        <v>98</v>
      </c>
      <c r="GM24" s="6">
        <f t="shared" si="67"/>
        <v>97</v>
      </c>
      <c r="GN24" s="6">
        <f t="shared" si="68"/>
        <v>97.979797979797979</v>
      </c>
      <c r="GO24" s="10">
        <v>87</v>
      </c>
      <c r="GP24" s="15" t="s">
        <v>222</v>
      </c>
      <c r="GQ24" s="6"/>
      <c r="GR24" s="12"/>
      <c r="GS24" s="12">
        <f t="shared" si="72"/>
        <v>86.869765200059248</v>
      </c>
      <c r="GU24" s="12">
        <f t="shared" si="73"/>
        <v>91.961279461279446</v>
      </c>
      <c r="GV24" s="12">
        <f t="shared" si="69"/>
        <v>90.82491582491582</v>
      </c>
      <c r="GW24" s="12">
        <f t="shared" si="74"/>
        <v>1.136363636363626</v>
      </c>
      <c r="GX24" s="12"/>
      <c r="GY24" s="12"/>
      <c r="GZ24" s="13">
        <f t="shared" si="75"/>
        <v>86.869765200059248</v>
      </c>
      <c r="HA24" s="6"/>
      <c r="HB24" s="10">
        <f t="shared" si="70"/>
        <v>6.3131313131293609E-2</v>
      </c>
      <c r="HC24" s="6"/>
      <c r="HD24" s="10">
        <f t="shared" si="76"/>
        <v>94.002525252525231</v>
      </c>
      <c r="HE24" s="10">
        <f t="shared" si="71"/>
        <v>93.939393939393938</v>
      </c>
      <c r="HF24" s="10"/>
      <c r="HH24" s="10"/>
    </row>
    <row r="25" spans="1:216" ht="15.75" customHeight="1">
      <c r="A25" s="1" t="s">
        <v>232</v>
      </c>
      <c r="B25" s="10">
        <v>25</v>
      </c>
      <c r="C25" s="1" t="s">
        <v>203</v>
      </c>
      <c r="D25" s="10">
        <v>70</v>
      </c>
      <c r="E25" s="10">
        <v>175</v>
      </c>
      <c r="F25" s="10">
        <v>99</v>
      </c>
      <c r="G25" s="1" t="s">
        <v>204</v>
      </c>
      <c r="H25" s="1" t="s">
        <v>205</v>
      </c>
      <c r="I25" s="1" t="s">
        <v>204</v>
      </c>
      <c r="J25" s="1" t="s">
        <v>204</v>
      </c>
      <c r="K25" s="10">
        <v>10</v>
      </c>
      <c r="L25" s="1" t="s">
        <v>206</v>
      </c>
      <c r="M25" s="1" t="s">
        <v>207</v>
      </c>
      <c r="N25" s="1">
        <v>71.400000000000006</v>
      </c>
      <c r="O25" s="1">
        <v>65.400000000000006</v>
      </c>
      <c r="P25" s="1">
        <v>68.5</v>
      </c>
      <c r="Q25" s="6">
        <f t="shared" si="0"/>
        <v>68.433333333333337</v>
      </c>
      <c r="R25" s="1">
        <v>66.099999999999994</v>
      </c>
      <c r="S25" s="1">
        <v>70.400000000000006</v>
      </c>
      <c r="T25" s="1">
        <v>75.900000000000006</v>
      </c>
      <c r="U25" s="6">
        <f t="shared" si="1"/>
        <v>70.8</v>
      </c>
      <c r="V25" s="1">
        <v>133.1</v>
      </c>
      <c r="W25" s="1">
        <v>145.9</v>
      </c>
      <c r="X25" s="1">
        <v>145.4</v>
      </c>
      <c r="Y25" s="6">
        <f t="shared" si="2"/>
        <v>141.46666666666667</v>
      </c>
      <c r="Z25" s="1">
        <v>157.30000000000001</v>
      </c>
      <c r="AA25" s="1">
        <v>151.80000000000001</v>
      </c>
      <c r="AB25" s="10">
        <v>154</v>
      </c>
      <c r="AC25" s="6">
        <f t="shared" si="3"/>
        <v>154.36666666666667</v>
      </c>
      <c r="AD25" s="10">
        <v>0</v>
      </c>
      <c r="AE25" s="10">
        <v>1</v>
      </c>
      <c r="AF25" s="10">
        <v>0</v>
      </c>
      <c r="AG25" s="10">
        <v>0</v>
      </c>
      <c r="AH25" s="10">
        <v>6</v>
      </c>
      <c r="AI25" s="10">
        <v>2</v>
      </c>
      <c r="AJ25" s="10">
        <f t="shared" si="4"/>
        <v>9</v>
      </c>
      <c r="AK25" s="10">
        <v>105</v>
      </c>
      <c r="AL25" s="10">
        <v>106</v>
      </c>
      <c r="AM25" s="10">
        <v>108</v>
      </c>
      <c r="AN25" s="10">
        <f t="shared" si="5"/>
        <v>106.33333333333333</v>
      </c>
      <c r="AO25" s="10">
        <f t="shared" si="6"/>
        <v>107.40740740740739</v>
      </c>
      <c r="AP25" s="10">
        <v>99</v>
      </c>
      <c r="AQ25" s="10">
        <v>101</v>
      </c>
      <c r="AR25" s="10">
        <v>103</v>
      </c>
      <c r="AS25" s="6">
        <f t="shared" si="7"/>
        <v>101</v>
      </c>
      <c r="AT25" s="6">
        <f t="shared" si="8"/>
        <v>102.02020202020201</v>
      </c>
      <c r="AU25" s="1">
        <v>92.5</v>
      </c>
      <c r="AV25" s="10">
        <v>96</v>
      </c>
      <c r="AW25" s="10">
        <v>97</v>
      </c>
      <c r="AX25" s="6">
        <f t="shared" si="9"/>
        <v>95.166666666666671</v>
      </c>
      <c r="AY25" s="6">
        <f t="shared" si="10"/>
        <v>96.127946127946132</v>
      </c>
      <c r="AZ25" s="10">
        <v>72</v>
      </c>
      <c r="BA25" s="10">
        <v>73</v>
      </c>
      <c r="BB25" s="10">
        <v>77</v>
      </c>
      <c r="BC25" s="6">
        <f t="shared" si="11"/>
        <v>74</v>
      </c>
      <c r="BD25" s="10">
        <f t="shared" si="12"/>
        <v>74.747474747474755</v>
      </c>
      <c r="BE25" s="10">
        <v>94</v>
      </c>
      <c r="BF25" s="10">
        <v>95</v>
      </c>
      <c r="BG25" s="1">
        <v>98.5</v>
      </c>
      <c r="BH25" s="10">
        <f t="shared" si="13"/>
        <v>74</v>
      </c>
      <c r="BI25" s="10">
        <f t="shared" si="14"/>
        <v>74.747474747474755</v>
      </c>
      <c r="BJ25" s="10">
        <v>82</v>
      </c>
      <c r="BK25" s="10">
        <v>86</v>
      </c>
      <c r="BL25" s="10">
        <v>88</v>
      </c>
      <c r="BM25" s="10">
        <f t="shared" si="15"/>
        <v>85.333333333333329</v>
      </c>
      <c r="BN25" s="10">
        <f t="shared" si="16"/>
        <v>86.195286195286187</v>
      </c>
      <c r="BO25" s="1">
        <v>98.5</v>
      </c>
      <c r="BP25" s="10">
        <v>101</v>
      </c>
      <c r="BQ25" s="10">
        <v>106</v>
      </c>
      <c r="BR25" s="1">
        <f t="shared" si="17"/>
        <v>101.83333333333333</v>
      </c>
      <c r="BS25" s="1">
        <f t="shared" si="18"/>
        <v>102.86195286195286</v>
      </c>
      <c r="BT25" s="1">
        <v>98.5</v>
      </c>
      <c r="BU25" s="1">
        <v>98.5</v>
      </c>
      <c r="BV25" s="10">
        <v>100</v>
      </c>
      <c r="BW25" s="10">
        <f t="shared" si="19"/>
        <v>99</v>
      </c>
      <c r="BX25" s="10">
        <f t="shared" si="20"/>
        <v>100</v>
      </c>
      <c r="BY25" s="10">
        <v>84</v>
      </c>
      <c r="BZ25" s="10">
        <v>90</v>
      </c>
      <c r="CA25" s="10">
        <v>90</v>
      </c>
      <c r="CB25" s="10">
        <f t="shared" si="21"/>
        <v>88</v>
      </c>
      <c r="CC25" s="10">
        <f t="shared" si="22"/>
        <v>88.888888888888886</v>
      </c>
      <c r="CD25" s="10">
        <v>84</v>
      </c>
      <c r="CE25" s="1">
        <v>90.5</v>
      </c>
      <c r="CF25" s="1">
        <v>90.5</v>
      </c>
      <c r="CG25" s="1">
        <f t="shared" si="23"/>
        <v>88.333333333333329</v>
      </c>
      <c r="CH25" s="1">
        <f t="shared" si="24"/>
        <v>89.225589225589218</v>
      </c>
      <c r="CI25" s="10">
        <v>94</v>
      </c>
      <c r="CJ25" s="1">
        <v>96.5</v>
      </c>
      <c r="CK25" s="1">
        <v>96.5</v>
      </c>
      <c r="CL25" s="10">
        <f t="shared" si="25"/>
        <v>95.666666666666671</v>
      </c>
      <c r="CM25" s="10">
        <f t="shared" si="26"/>
        <v>96.632996632996637</v>
      </c>
      <c r="CN25" s="10">
        <v>99</v>
      </c>
      <c r="CO25" s="10">
        <v>106</v>
      </c>
      <c r="CP25" s="10">
        <v>105</v>
      </c>
      <c r="CQ25" s="1">
        <f t="shared" si="27"/>
        <v>103.33333333333333</v>
      </c>
      <c r="CR25" s="1">
        <f t="shared" si="28"/>
        <v>104.37710437710437</v>
      </c>
      <c r="CS25" s="10">
        <v>86</v>
      </c>
      <c r="CT25" s="10">
        <v>86</v>
      </c>
      <c r="CU25" s="10">
        <v>88</v>
      </c>
      <c r="CV25" s="10">
        <f t="shared" si="29"/>
        <v>86.666666666666671</v>
      </c>
      <c r="CW25" s="10">
        <f t="shared" si="30"/>
        <v>87.542087542087543</v>
      </c>
      <c r="CX25" s="10">
        <v>96</v>
      </c>
      <c r="CY25" s="10">
        <v>100</v>
      </c>
      <c r="CZ25" s="10">
        <v>100</v>
      </c>
      <c r="DA25" s="10">
        <f t="shared" si="31"/>
        <v>98.666666666666671</v>
      </c>
      <c r="DB25" s="10">
        <f t="shared" si="32"/>
        <v>99.663299663299668</v>
      </c>
      <c r="DC25" s="10">
        <v>75</v>
      </c>
      <c r="DD25" s="10">
        <v>80</v>
      </c>
      <c r="DE25" s="10">
        <v>81</v>
      </c>
      <c r="DF25" s="1">
        <f t="shared" si="33"/>
        <v>78.666666666666671</v>
      </c>
      <c r="DG25" s="1">
        <f t="shared" si="34"/>
        <v>79.46127946127946</v>
      </c>
      <c r="DH25" s="10">
        <v>89</v>
      </c>
      <c r="DI25" s="10">
        <v>91</v>
      </c>
      <c r="DJ25" s="10">
        <v>92</v>
      </c>
      <c r="DK25" s="10">
        <f t="shared" si="35"/>
        <v>90.666666666666671</v>
      </c>
      <c r="DL25" s="10">
        <f t="shared" si="36"/>
        <v>91.582491582491585</v>
      </c>
      <c r="DM25" s="10">
        <v>104</v>
      </c>
      <c r="DN25" s="10">
        <v>108</v>
      </c>
      <c r="DO25" s="10">
        <v>111</v>
      </c>
      <c r="DP25" s="6">
        <f t="shared" si="37"/>
        <v>107.66666666666667</v>
      </c>
      <c r="DQ25" s="10">
        <f t="shared" si="38"/>
        <v>108.75420875420876</v>
      </c>
      <c r="DR25" s="10">
        <v>95</v>
      </c>
      <c r="DS25" s="10">
        <v>98</v>
      </c>
      <c r="DT25" s="10">
        <v>101</v>
      </c>
      <c r="DU25" s="6">
        <f t="shared" si="39"/>
        <v>98</v>
      </c>
      <c r="DV25" s="1">
        <f t="shared" si="40"/>
        <v>98.98989898989899</v>
      </c>
      <c r="DW25" s="10">
        <v>100</v>
      </c>
      <c r="DX25" s="10">
        <v>103</v>
      </c>
      <c r="DY25" s="1">
        <v>106.5</v>
      </c>
      <c r="DZ25" s="6">
        <f t="shared" si="41"/>
        <v>103.16666666666667</v>
      </c>
      <c r="EA25" s="6">
        <f t="shared" si="42"/>
        <v>104.20875420875421</v>
      </c>
      <c r="EB25" s="1">
        <v>84.5</v>
      </c>
      <c r="EC25" s="1">
        <v>84.5</v>
      </c>
      <c r="ED25" s="10">
        <v>90</v>
      </c>
      <c r="EE25" s="6">
        <f t="shared" si="43"/>
        <v>86.333333333333329</v>
      </c>
      <c r="EF25" s="6">
        <f t="shared" si="44"/>
        <v>87.205387205387197</v>
      </c>
      <c r="EG25" s="10">
        <v>104</v>
      </c>
      <c r="EH25" s="10">
        <v>107</v>
      </c>
      <c r="EI25" s="10">
        <v>104</v>
      </c>
      <c r="EJ25" s="6">
        <f t="shared" si="45"/>
        <v>105</v>
      </c>
      <c r="EK25" s="6">
        <f t="shared" si="46"/>
        <v>106.06060606060606</v>
      </c>
      <c r="EL25" s="10">
        <v>107</v>
      </c>
      <c r="EM25" s="10">
        <v>98</v>
      </c>
      <c r="EN25" s="10">
        <v>100</v>
      </c>
      <c r="EO25" s="6">
        <f t="shared" si="47"/>
        <v>101.66666666666667</v>
      </c>
      <c r="EP25" s="6">
        <f t="shared" si="48"/>
        <v>102.6936026936027</v>
      </c>
      <c r="EQ25" s="1">
        <v>83.5</v>
      </c>
      <c r="ER25" s="10">
        <v>92</v>
      </c>
      <c r="ES25" s="10">
        <v>92</v>
      </c>
      <c r="ET25" s="6">
        <f t="shared" si="49"/>
        <v>89.166666666666671</v>
      </c>
      <c r="EU25" s="6">
        <f t="shared" si="50"/>
        <v>90.067340067340069</v>
      </c>
      <c r="EV25" s="10">
        <v>88</v>
      </c>
      <c r="EW25" s="1">
        <v>91.5</v>
      </c>
      <c r="EX25" s="1">
        <v>93.5</v>
      </c>
      <c r="EY25" s="6">
        <f t="shared" si="51"/>
        <v>91</v>
      </c>
      <c r="EZ25" s="6">
        <f t="shared" si="52"/>
        <v>91.919191919191917</v>
      </c>
      <c r="FA25" s="10">
        <v>84</v>
      </c>
      <c r="FB25" s="10">
        <v>93</v>
      </c>
      <c r="FC25" s="10">
        <v>93</v>
      </c>
      <c r="FD25" s="6">
        <f t="shared" si="53"/>
        <v>90</v>
      </c>
      <c r="FE25" s="6">
        <f t="shared" si="54"/>
        <v>90.909090909090907</v>
      </c>
      <c r="FF25" s="10">
        <v>88</v>
      </c>
      <c r="FG25" s="10">
        <v>92</v>
      </c>
      <c r="FH25" s="10">
        <v>102</v>
      </c>
      <c r="FI25" s="6">
        <f t="shared" si="55"/>
        <v>94</v>
      </c>
      <c r="FJ25" s="6">
        <f t="shared" si="56"/>
        <v>94.949494949494948</v>
      </c>
      <c r="FK25" s="10">
        <v>85</v>
      </c>
      <c r="FL25" s="10">
        <v>99</v>
      </c>
      <c r="FM25" s="10">
        <v>110</v>
      </c>
      <c r="FN25" s="6">
        <f t="shared" si="57"/>
        <v>98</v>
      </c>
      <c r="FO25" s="6">
        <f t="shared" si="58"/>
        <v>98.98989898989899</v>
      </c>
      <c r="FP25" s="1">
        <v>101.5</v>
      </c>
      <c r="FQ25" s="1">
        <v>103.5</v>
      </c>
      <c r="FR25" s="10">
        <v>90</v>
      </c>
      <c r="FS25" s="6">
        <f t="shared" si="59"/>
        <v>98.333333333333329</v>
      </c>
      <c r="FT25" s="6">
        <f t="shared" si="60"/>
        <v>99.326599326599322</v>
      </c>
      <c r="FU25" s="10">
        <v>87</v>
      </c>
      <c r="FV25" s="10">
        <v>90</v>
      </c>
      <c r="FW25" s="10">
        <v>100</v>
      </c>
      <c r="FX25" s="6">
        <f t="shared" si="61"/>
        <v>92.333333333333329</v>
      </c>
      <c r="FY25" s="6">
        <f t="shared" si="62"/>
        <v>93.265993265993259</v>
      </c>
      <c r="FZ25" s="10">
        <v>98</v>
      </c>
      <c r="GA25" s="10">
        <v>98</v>
      </c>
      <c r="GB25" s="1">
        <v>84.5</v>
      </c>
      <c r="GC25" s="6">
        <f t="shared" si="63"/>
        <v>93.5</v>
      </c>
      <c r="GD25" s="6">
        <f t="shared" si="64"/>
        <v>94.444444444444443</v>
      </c>
      <c r="GE25" s="10">
        <v>81</v>
      </c>
      <c r="GF25" s="1">
        <v>82.5</v>
      </c>
      <c r="GG25" s="1">
        <v>85.5</v>
      </c>
      <c r="GH25" s="6">
        <f t="shared" si="65"/>
        <v>83</v>
      </c>
      <c r="GI25" s="6">
        <f t="shared" si="66"/>
        <v>83.838383838383834</v>
      </c>
      <c r="GJ25" s="10">
        <v>87</v>
      </c>
      <c r="GK25" s="10">
        <v>89</v>
      </c>
      <c r="GL25" s="10">
        <v>89</v>
      </c>
      <c r="GM25" s="6">
        <f t="shared" si="67"/>
        <v>88.333333333333329</v>
      </c>
      <c r="GN25" s="6">
        <f t="shared" si="68"/>
        <v>89.225589225589218</v>
      </c>
      <c r="GO25" s="10">
        <v>87.2</v>
      </c>
      <c r="GP25" s="15" t="s">
        <v>222</v>
      </c>
      <c r="GQ25" s="6"/>
      <c r="GR25" s="12"/>
      <c r="GS25" s="12">
        <f t="shared" si="72"/>
        <v>85.361987719046454</v>
      </c>
      <c r="GU25" s="12">
        <f t="shared" si="73"/>
        <v>91.708754208754215</v>
      </c>
      <c r="GV25" s="12">
        <f t="shared" si="69"/>
        <v>93.476430976430962</v>
      </c>
      <c r="GW25" s="12">
        <f t="shared" si="74"/>
        <v>1.7676767676767469</v>
      </c>
      <c r="GX25" s="12"/>
      <c r="GY25" s="12"/>
      <c r="GZ25" s="13">
        <f t="shared" si="75"/>
        <v>85.361987719046454</v>
      </c>
      <c r="HA25" s="6"/>
      <c r="HB25" s="10">
        <f t="shared" si="70"/>
        <v>2.1675084175084152</v>
      </c>
      <c r="HC25" s="6"/>
      <c r="HD25" s="10">
        <f t="shared" si="76"/>
        <v>97.011784511784512</v>
      </c>
      <c r="HE25" s="10">
        <f t="shared" si="71"/>
        <v>94.844276094276097</v>
      </c>
      <c r="HF25" s="10"/>
      <c r="HH25" s="10"/>
    </row>
    <row r="26" spans="1:216" ht="15.75" customHeight="1">
      <c r="A26" s="1" t="s">
        <v>233</v>
      </c>
      <c r="B26" s="10">
        <v>21</v>
      </c>
      <c r="C26" s="1" t="s">
        <v>203</v>
      </c>
      <c r="D26" s="10">
        <v>83</v>
      </c>
      <c r="E26" s="10">
        <v>183</v>
      </c>
      <c r="F26" s="10">
        <v>107</v>
      </c>
      <c r="G26" s="1" t="s">
        <v>204</v>
      </c>
      <c r="H26" s="1" t="s">
        <v>205</v>
      </c>
      <c r="I26" s="1" t="s">
        <v>204</v>
      </c>
      <c r="J26" s="1" t="s">
        <v>204</v>
      </c>
      <c r="K26" s="10">
        <v>10</v>
      </c>
      <c r="L26" s="1" t="s">
        <v>206</v>
      </c>
      <c r="M26" s="1" t="s">
        <v>207</v>
      </c>
      <c r="N26" s="1">
        <v>84.4</v>
      </c>
      <c r="O26" s="1">
        <v>75.8</v>
      </c>
      <c r="P26" s="1">
        <v>75.8</v>
      </c>
      <c r="Q26" s="6">
        <f t="shared" si="0"/>
        <v>78.666666666666671</v>
      </c>
      <c r="R26" s="1">
        <v>81.3</v>
      </c>
      <c r="S26" s="1">
        <v>78.2</v>
      </c>
      <c r="T26" s="1">
        <v>83.7</v>
      </c>
      <c r="U26" s="6">
        <f t="shared" si="1"/>
        <v>81.066666666666663</v>
      </c>
      <c r="V26" s="1">
        <v>136.5</v>
      </c>
      <c r="W26" s="1">
        <v>128.4</v>
      </c>
      <c r="X26" s="1">
        <v>133.19999999999999</v>
      </c>
      <c r="Y26" s="6">
        <f t="shared" si="2"/>
        <v>132.69999999999999</v>
      </c>
      <c r="Z26" s="1">
        <v>138.80000000000001</v>
      </c>
      <c r="AA26" s="1">
        <v>141.9</v>
      </c>
      <c r="AB26" s="1">
        <v>141.80000000000001</v>
      </c>
      <c r="AC26" s="6">
        <f t="shared" si="3"/>
        <v>140.83333333333334</v>
      </c>
      <c r="AD26" s="10">
        <v>0</v>
      </c>
      <c r="AE26" s="10">
        <v>7</v>
      </c>
      <c r="AF26" s="10">
        <v>0</v>
      </c>
      <c r="AG26" s="10">
        <v>0</v>
      </c>
      <c r="AH26" s="10">
        <v>8</v>
      </c>
      <c r="AI26" s="10">
        <v>5</v>
      </c>
      <c r="AJ26" s="10">
        <f t="shared" si="4"/>
        <v>20</v>
      </c>
      <c r="AK26" s="10">
        <v>94</v>
      </c>
      <c r="AL26" s="10">
        <v>95</v>
      </c>
      <c r="AM26" s="10">
        <v>98</v>
      </c>
      <c r="AN26" s="10">
        <f t="shared" si="5"/>
        <v>95.666666666666671</v>
      </c>
      <c r="AO26" s="10">
        <f t="shared" si="6"/>
        <v>89.408099688473527</v>
      </c>
      <c r="AP26" s="1">
        <v>93.5</v>
      </c>
      <c r="AQ26" s="10">
        <v>95</v>
      </c>
      <c r="AR26" s="1">
        <v>96.5</v>
      </c>
      <c r="AS26" s="6">
        <f t="shared" si="7"/>
        <v>95</v>
      </c>
      <c r="AT26" s="6">
        <f t="shared" si="8"/>
        <v>88.785046728971963</v>
      </c>
      <c r="AU26" s="10">
        <v>78</v>
      </c>
      <c r="AV26" s="1">
        <v>80.5</v>
      </c>
      <c r="AW26" s="1">
        <v>83.5</v>
      </c>
      <c r="AX26" s="6">
        <f t="shared" si="9"/>
        <v>80.666666666666671</v>
      </c>
      <c r="AY26" s="6">
        <f t="shared" si="10"/>
        <v>75.389408099688481</v>
      </c>
      <c r="AZ26" s="1">
        <v>72.5</v>
      </c>
      <c r="BA26" s="1">
        <v>73.5</v>
      </c>
      <c r="BB26" s="1">
        <v>73.5</v>
      </c>
      <c r="BC26" s="6">
        <f t="shared" si="11"/>
        <v>73.166666666666671</v>
      </c>
      <c r="BD26" s="10">
        <f t="shared" si="12"/>
        <v>68.380062305295951</v>
      </c>
      <c r="BE26" s="1">
        <v>80.5</v>
      </c>
      <c r="BF26" s="1">
        <v>84.5</v>
      </c>
      <c r="BG26" s="10">
        <v>86</v>
      </c>
      <c r="BH26" s="10">
        <f t="shared" si="13"/>
        <v>73.166666666666671</v>
      </c>
      <c r="BI26" s="10">
        <f t="shared" si="14"/>
        <v>68.380062305295951</v>
      </c>
      <c r="BJ26" s="10">
        <v>61</v>
      </c>
      <c r="BK26" s="10">
        <v>74</v>
      </c>
      <c r="BL26" s="10">
        <v>76</v>
      </c>
      <c r="BM26" s="10">
        <f t="shared" si="15"/>
        <v>70.333333333333329</v>
      </c>
      <c r="BN26" s="10">
        <f t="shared" si="16"/>
        <v>65.732087227414326</v>
      </c>
      <c r="BO26" s="10">
        <v>74</v>
      </c>
      <c r="BP26" s="1">
        <v>84.5</v>
      </c>
      <c r="BQ26" s="1">
        <v>90.5</v>
      </c>
      <c r="BR26" s="1">
        <f t="shared" si="17"/>
        <v>83</v>
      </c>
      <c r="BS26" s="1">
        <f t="shared" si="18"/>
        <v>77.570093457943926</v>
      </c>
      <c r="BT26" s="1">
        <v>75.5</v>
      </c>
      <c r="BU26" s="1">
        <v>75.5</v>
      </c>
      <c r="BV26" s="10">
        <v>76</v>
      </c>
      <c r="BW26" s="10">
        <f t="shared" si="19"/>
        <v>75.666666666666671</v>
      </c>
      <c r="BX26" s="10">
        <f t="shared" si="20"/>
        <v>70.716510903426794</v>
      </c>
      <c r="BY26" s="10">
        <v>79</v>
      </c>
      <c r="BZ26" s="10">
        <v>84</v>
      </c>
      <c r="CA26" s="10">
        <v>88</v>
      </c>
      <c r="CB26" s="10">
        <f t="shared" si="21"/>
        <v>83.666666666666671</v>
      </c>
      <c r="CC26" s="10">
        <f t="shared" si="22"/>
        <v>78.19314641744549</v>
      </c>
      <c r="CD26" s="10">
        <v>77</v>
      </c>
      <c r="CE26" s="1">
        <v>77.5</v>
      </c>
      <c r="CF26" s="10">
        <v>78</v>
      </c>
      <c r="CG26" s="1">
        <f t="shared" si="23"/>
        <v>77.5</v>
      </c>
      <c r="CH26" s="1">
        <f t="shared" si="24"/>
        <v>72.429906542056074</v>
      </c>
      <c r="CI26" s="10">
        <v>72</v>
      </c>
      <c r="CJ26" s="10">
        <v>76</v>
      </c>
      <c r="CK26" s="10">
        <v>81</v>
      </c>
      <c r="CL26" s="10">
        <f t="shared" si="25"/>
        <v>76.333333333333329</v>
      </c>
      <c r="CM26" s="10">
        <f t="shared" si="26"/>
        <v>71.339563862928344</v>
      </c>
      <c r="CN26" s="10">
        <v>82</v>
      </c>
      <c r="CO26" s="1">
        <v>82.5</v>
      </c>
      <c r="CP26" s="1">
        <v>86.5</v>
      </c>
      <c r="CQ26" s="1">
        <f t="shared" si="27"/>
        <v>83.666666666666671</v>
      </c>
      <c r="CR26" s="1">
        <f t="shared" si="28"/>
        <v>78.19314641744549</v>
      </c>
      <c r="CS26" s="1">
        <v>70.5</v>
      </c>
      <c r="CT26" s="10">
        <v>72</v>
      </c>
      <c r="CU26" s="10">
        <v>78</v>
      </c>
      <c r="CV26" s="10">
        <f t="shared" si="29"/>
        <v>73.5</v>
      </c>
      <c r="CW26" s="10">
        <f t="shared" si="30"/>
        <v>68.691588785046733</v>
      </c>
      <c r="CX26" s="10">
        <v>84</v>
      </c>
      <c r="CY26" s="10">
        <v>84</v>
      </c>
      <c r="CZ26" s="10">
        <v>84</v>
      </c>
      <c r="DA26" s="10">
        <f t="shared" si="31"/>
        <v>84</v>
      </c>
      <c r="DB26" s="10">
        <f t="shared" si="32"/>
        <v>78.504672897196258</v>
      </c>
      <c r="DC26" s="10">
        <v>73</v>
      </c>
      <c r="DD26" s="10">
        <v>75</v>
      </c>
      <c r="DE26" s="10">
        <v>76</v>
      </c>
      <c r="DF26" s="1">
        <f t="shared" si="33"/>
        <v>74.666666666666671</v>
      </c>
      <c r="DG26" s="1">
        <f t="shared" si="34"/>
        <v>69.781931464174463</v>
      </c>
      <c r="DH26" s="10">
        <v>81</v>
      </c>
      <c r="DI26" s="10">
        <v>87</v>
      </c>
      <c r="DJ26" s="10">
        <v>87</v>
      </c>
      <c r="DK26" s="10">
        <f t="shared" si="35"/>
        <v>85</v>
      </c>
      <c r="DL26" s="10">
        <f t="shared" si="36"/>
        <v>79.43925233644859</v>
      </c>
      <c r="DM26" s="1">
        <v>87.5</v>
      </c>
      <c r="DN26" s="1">
        <v>90.5</v>
      </c>
      <c r="DO26" s="1">
        <v>92.5</v>
      </c>
      <c r="DP26" s="6">
        <f t="shared" si="37"/>
        <v>90.166666666666671</v>
      </c>
      <c r="DQ26" s="10">
        <f t="shared" si="38"/>
        <v>84.267912772585674</v>
      </c>
      <c r="DR26" s="10">
        <v>81</v>
      </c>
      <c r="DS26" s="1">
        <v>86.5</v>
      </c>
      <c r="DT26" s="1">
        <v>87.5</v>
      </c>
      <c r="DU26" s="6">
        <f t="shared" si="39"/>
        <v>85</v>
      </c>
      <c r="DV26" s="1">
        <f t="shared" si="40"/>
        <v>79.43925233644859</v>
      </c>
      <c r="DW26" s="10">
        <v>78</v>
      </c>
      <c r="DX26" s="10">
        <v>80</v>
      </c>
      <c r="DY26" s="10">
        <v>82</v>
      </c>
      <c r="DZ26" s="6">
        <f t="shared" si="41"/>
        <v>80</v>
      </c>
      <c r="EA26" s="6">
        <f t="shared" si="42"/>
        <v>74.766355140186917</v>
      </c>
      <c r="EB26" s="10">
        <v>75</v>
      </c>
      <c r="EC26" s="10">
        <v>78</v>
      </c>
      <c r="ED26" s="10">
        <v>79</v>
      </c>
      <c r="EE26" s="6">
        <f t="shared" si="43"/>
        <v>77.333333333333329</v>
      </c>
      <c r="EF26" s="6">
        <f t="shared" si="44"/>
        <v>72.274143302180676</v>
      </c>
      <c r="EG26" s="10">
        <v>83</v>
      </c>
      <c r="EH26" s="10">
        <v>84</v>
      </c>
      <c r="EI26" s="10">
        <v>86</v>
      </c>
      <c r="EJ26" s="6">
        <f t="shared" si="45"/>
        <v>84.333333333333329</v>
      </c>
      <c r="EK26" s="6">
        <f t="shared" si="46"/>
        <v>78.81619937694704</v>
      </c>
      <c r="EL26" s="10">
        <v>71</v>
      </c>
      <c r="EM26" s="10">
        <v>72</v>
      </c>
      <c r="EN26" s="10">
        <v>73</v>
      </c>
      <c r="EO26" s="6">
        <f t="shared" si="47"/>
        <v>72</v>
      </c>
      <c r="EP26" s="6">
        <f t="shared" si="48"/>
        <v>67.289719626168221</v>
      </c>
      <c r="EQ26" s="10">
        <v>86</v>
      </c>
      <c r="ER26" s="10">
        <v>89</v>
      </c>
      <c r="ES26" s="10">
        <v>92</v>
      </c>
      <c r="ET26" s="6">
        <f t="shared" si="49"/>
        <v>89</v>
      </c>
      <c r="EU26" s="6">
        <f t="shared" si="50"/>
        <v>83.177570093457945</v>
      </c>
      <c r="EV26" s="10">
        <v>77</v>
      </c>
      <c r="EW26" s="10">
        <v>80</v>
      </c>
      <c r="EX26" s="10">
        <v>81</v>
      </c>
      <c r="EY26" s="6">
        <f t="shared" si="51"/>
        <v>79.333333333333329</v>
      </c>
      <c r="EZ26" s="6">
        <f t="shared" si="52"/>
        <v>74.143302180685353</v>
      </c>
      <c r="FA26" s="10">
        <v>87</v>
      </c>
      <c r="FB26" s="10">
        <v>87</v>
      </c>
      <c r="FC26" s="1">
        <v>88.5</v>
      </c>
      <c r="FD26" s="6">
        <f t="shared" si="53"/>
        <v>87.5</v>
      </c>
      <c r="FE26" s="6">
        <f t="shared" si="54"/>
        <v>81.775700934579447</v>
      </c>
      <c r="FF26" s="10">
        <v>84</v>
      </c>
      <c r="FG26" s="1">
        <v>88.5</v>
      </c>
      <c r="FH26" s="1">
        <v>89.5</v>
      </c>
      <c r="FI26" s="6">
        <f t="shared" si="55"/>
        <v>87.333333333333329</v>
      </c>
      <c r="FJ26" s="6">
        <f t="shared" si="56"/>
        <v>81.619937694704049</v>
      </c>
      <c r="FK26" s="10">
        <v>79</v>
      </c>
      <c r="FL26" s="10">
        <v>81</v>
      </c>
      <c r="FM26" s="10">
        <v>82</v>
      </c>
      <c r="FN26" s="6">
        <f t="shared" si="57"/>
        <v>80.666666666666671</v>
      </c>
      <c r="FO26" s="6">
        <f t="shared" si="58"/>
        <v>75.389408099688481</v>
      </c>
      <c r="FP26" s="10">
        <v>88</v>
      </c>
      <c r="FQ26" s="10">
        <v>91</v>
      </c>
      <c r="FR26" s="10">
        <v>92</v>
      </c>
      <c r="FS26" s="6">
        <f t="shared" si="59"/>
        <v>90.333333333333329</v>
      </c>
      <c r="FT26" s="6">
        <f t="shared" si="60"/>
        <v>84.423676012461058</v>
      </c>
      <c r="FU26" s="1">
        <v>81.5</v>
      </c>
      <c r="FV26" s="1">
        <v>75.5</v>
      </c>
      <c r="FW26" s="1">
        <v>79.5</v>
      </c>
      <c r="FX26" s="6">
        <f t="shared" si="61"/>
        <v>78.833333333333329</v>
      </c>
      <c r="FY26" s="6">
        <f t="shared" si="62"/>
        <v>73.676012461059187</v>
      </c>
      <c r="FZ26" s="10">
        <v>88</v>
      </c>
      <c r="GA26" s="1">
        <v>86.5</v>
      </c>
      <c r="GB26" s="1">
        <v>87.5</v>
      </c>
      <c r="GC26" s="6">
        <f t="shared" si="63"/>
        <v>87.333333333333329</v>
      </c>
      <c r="GD26" s="6">
        <f t="shared" si="64"/>
        <v>81.619937694704049</v>
      </c>
      <c r="GE26" s="10">
        <v>81</v>
      </c>
      <c r="GF26" s="1">
        <v>78.5</v>
      </c>
      <c r="GG26" s="10">
        <v>80</v>
      </c>
      <c r="GH26" s="6">
        <f t="shared" si="65"/>
        <v>79.833333333333329</v>
      </c>
      <c r="GI26" s="6">
        <f t="shared" si="66"/>
        <v>74.610591900311519</v>
      </c>
      <c r="GJ26" s="1">
        <v>86.5</v>
      </c>
      <c r="GK26" s="10">
        <v>87</v>
      </c>
      <c r="GL26" s="10">
        <v>87</v>
      </c>
      <c r="GM26" s="6">
        <f t="shared" si="67"/>
        <v>86.833333333333329</v>
      </c>
      <c r="GN26" s="6">
        <f t="shared" si="68"/>
        <v>81.152647975077869</v>
      </c>
      <c r="GO26" s="10">
        <v>87.4</v>
      </c>
      <c r="GP26" s="15" t="s">
        <v>222</v>
      </c>
      <c r="GQ26" s="6"/>
      <c r="GR26" s="12"/>
      <c r="GS26" s="12">
        <f t="shared" si="72"/>
        <v>81.74668528227339</v>
      </c>
      <c r="GU26" s="12">
        <f t="shared" si="73"/>
        <v>74.844236760124616</v>
      </c>
      <c r="GV26" s="12">
        <f t="shared" si="69"/>
        <v>75.272585669781932</v>
      </c>
      <c r="GW26" s="12">
        <f t="shared" si="74"/>
        <v>0.42834890965731631</v>
      </c>
      <c r="GX26" s="12"/>
      <c r="GY26" s="12"/>
      <c r="GZ26" s="13">
        <f t="shared" si="75"/>
        <v>81.74668528227339</v>
      </c>
      <c r="HA26" s="6"/>
      <c r="HB26" s="10">
        <f t="shared" si="70"/>
        <v>0.56464174454829674</v>
      </c>
      <c r="HC26" s="6"/>
      <c r="HD26" s="10">
        <f t="shared" si="76"/>
        <v>78.309968847352025</v>
      </c>
      <c r="HE26" s="10">
        <f t="shared" si="71"/>
        <v>77.745327102803728</v>
      </c>
      <c r="HF26" s="10"/>
      <c r="HH26" s="10"/>
    </row>
    <row r="27" spans="1:216" ht="15.75" customHeight="1">
      <c r="A27" s="1" t="s">
        <v>234</v>
      </c>
      <c r="B27" s="10">
        <v>25</v>
      </c>
      <c r="C27" s="1" t="s">
        <v>203</v>
      </c>
      <c r="D27" s="10">
        <v>96</v>
      </c>
      <c r="E27" s="10">
        <v>181</v>
      </c>
      <c r="F27" s="1">
        <v>102.5</v>
      </c>
      <c r="G27" s="1" t="s">
        <v>204</v>
      </c>
      <c r="H27" s="1" t="s">
        <v>205</v>
      </c>
      <c r="I27" s="1" t="s">
        <v>204</v>
      </c>
      <c r="J27" s="1" t="s">
        <v>204</v>
      </c>
      <c r="K27" s="10">
        <v>20</v>
      </c>
      <c r="L27" s="1" t="s">
        <v>206</v>
      </c>
      <c r="M27" s="1" t="s">
        <v>207</v>
      </c>
      <c r="N27" s="1">
        <v>67.599999999999994</v>
      </c>
      <c r="O27" s="1">
        <v>81.5</v>
      </c>
      <c r="P27" s="1">
        <v>79.7</v>
      </c>
      <c r="Q27" s="6">
        <f t="shared" si="0"/>
        <v>76.266666666666666</v>
      </c>
      <c r="R27" s="1">
        <v>74.5</v>
      </c>
      <c r="S27" s="1">
        <v>75.900000000000006</v>
      </c>
      <c r="T27" s="1">
        <v>65.5</v>
      </c>
      <c r="U27" s="6">
        <f t="shared" si="1"/>
        <v>71.966666666666669</v>
      </c>
      <c r="V27" s="1">
        <v>150.6</v>
      </c>
      <c r="W27" s="1">
        <v>148.4</v>
      </c>
      <c r="X27" s="1">
        <v>137.5</v>
      </c>
      <c r="Y27" s="6">
        <f t="shared" si="2"/>
        <v>145.5</v>
      </c>
      <c r="Z27" s="1">
        <v>159.69999999999999</v>
      </c>
      <c r="AA27" s="1">
        <v>143.5</v>
      </c>
      <c r="AB27" s="1">
        <v>149.1</v>
      </c>
      <c r="AC27" s="6">
        <f t="shared" si="3"/>
        <v>150.76666666666665</v>
      </c>
      <c r="AD27" s="10">
        <v>0</v>
      </c>
      <c r="AE27" s="10">
        <v>0</v>
      </c>
      <c r="AF27" s="10">
        <v>0</v>
      </c>
      <c r="AG27" s="10">
        <v>0</v>
      </c>
      <c r="AH27" s="10">
        <v>5</v>
      </c>
      <c r="AI27" s="10">
        <v>3</v>
      </c>
      <c r="AJ27" s="10">
        <f t="shared" si="4"/>
        <v>8</v>
      </c>
      <c r="AK27" s="1">
        <v>87.5</v>
      </c>
      <c r="AL27" s="10">
        <v>91</v>
      </c>
      <c r="AM27" s="10">
        <v>94</v>
      </c>
      <c r="AN27" s="10">
        <f t="shared" si="5"/>
        <v>90.833333333333329</v>
      </c>
      <c r="AO27" s="10">
        <f t="shared" si="6"/>
        <v>88.617886178861781</v>
      </c>
      <c r="AP27" s="1">
        <v>103.5</v>
      </c>
      <c r="AQ27" s="10">
        <v>105</v>
      </c>
      <c r="AR27" s="10">
        <v>108</v>
      </c>
      <c r="AS27" s="6">
        <f t="shared" si="7"/>
        <v>105.5</v>
      </c>
      <c r="AT27" s="6">
        <f t="shared" si="8"/>
        <v>102.92682926829269</v>
      </c>
      <c r="AU27" s="10">
        <v>81</v>
      </c>
      <c r="AV27" s="10">
        <v>83</v>
      </c>
      <c r="AW27" s="10">
        <v>89</v>
      </c>
      <c r="AX27" s="6">
        <f t="shared" si="9"/>
        <v>84.333333333333329</v>
      </c>
      <c r="AY27" s="6">
        <f t="shared" si="10"/>
        <v>82.276422764227647</v>
      </c>
      <c r="AZ27" s="10">
        <v>76</v>
      </c>
      <c r="BA27" s="10">
        <v>78</v>
      </c>
      <c r="BB27" s="10">
        <v>85</v>
      </c>
      <c r="BC27" s="6">
        <f t="shared" si="11"/>
        <v>79.666666666666671</v>
      </c>
      <c r="BD27" s="10">
        <f t="shared" si="12"/>
        <v>77.723577235772368</v>
      </c>
      <c r="BE27" s="10">
        <v>96</v>
      </c>
      <c r="BF27" s="1">
        <v>96.5</v>
      </c>
      <c r="BG27" s="10">
        <v>97</v>
      </c>
      <c r="BH27" s="10">
        <f t="shared" si="13"/>
        <v>79.666666666666671</v>
      </c>
      <c r="BI27" s="10">
        <f t="shared" si="14"/>
        <v>77.723577235772368</v>
      </c>
      <c r="BJ27" s="10">
        <v>85</v>
      </c>
      <c r="BK27" s="10">
        <v>90</v>
      </c>
      <c r="BL27" s="10">
        <v>93</v>
      </c>
      <c r="BM27" s="10">
        <f t="shared" si="15"/>
        <v>89.333333333333329</v>
      </c>
      <c r="BN27" s="10">
        <f t="shared" si="16"/>
        <v>87.154471544715435</v>
      </c>
      <c r="BO27" s="10">
        <v>89</v>
      </c>
      <c r="BP27" s="10">
        <v>90</v>
      </c>
      <c r="BQ27" s="10">
        <v>95</v>
      </c>
      <c r="BR27" s="1">
        <f t="shared" si="17"/>
        <v>91.333333333333329</v>
      </c>
      <c r="BS27" s="1">
        <f t="shared" si="18"/>
        <v>89.105691056910558</v>
      </c>
      <c r="BT27" s="10">
        <v>86</v>
      </c>
      <c r="BU27" s="10">
        <v>95</v>
      </c>
      <c r="BV27" s="10">
        <v>99</v>
      </c>
      <c r="BW27" s="10">
        <f t="shared" si="19"/>
        <v>93.333333333333329</v>
      </c>
      <c r="BX27" s="10">
        <f t="shared" si="20"/>
        <v>91.056910569105682</v>
      </c>
      <c r="BY27" s="10">
        <v>86</v>
      </c>
      <c r="BZ27" s="10">
        <v>89</v>
      </c>
      <c r="CA27" s="1">
        <v>91.5</v>
      </c>
      <c r="CB27" s="10">
        <f t="shared" si="21"/>
        <v>88.833333333333329</v>
      </c>
      <c r="CC27" s="10">
        <f t="shared" si="22"/>
        <v>86.666666666666657</v>
      </c>
      <c r="CD27" s="10">
        <v>83</v>
      </c>
      <c r="CE27" s="10">
        <v>84</v>
      </c>
      <c r="CF27" s="10">
        <v>91</v>
      </c>
      <c r="CG27" s="1">
        <f t="shared" si="23"/>
        <v>86</v>
      </c>
      <c r="CH27" s="1">
        <f t="shared" si="24"/>
        <v>83.902439024390247</v>
      </c>
      <c r="CI27" s="10">
        <v>82</v>
      </c>
      <c r="CJ27" s="10">
        <v>90</v>
      </c>
      <c r="CK27" s="10">
        <v>94</v>
      </c>
      <c r="CL27" s="10">
        <f t="shared" si="25"/>
        <v>88.666666666666671</v>
      </c>
      <c r="CM27" s="10">
        <f t="shared" si="26"/>
        <v>86.504065040650417</v>
      </c>
      <c r="CN27" s="10">
        <v>100</v>
      </c>
      <c r="CO27" s="10">
        <v>101</v>
      </c>
      <c r="CP27" s="10">
        <v>103</v>
      </c>
      <c r="CQ27" s="1">
        <f t="shared" si="27"/>
        <v>101.33333333333333</v>
      </c>
      <c r="CR27" s="1">
        <f t="shared" si="28"/>
        <v>98.861788617886177</v>
      </c>
      <c r="CS27" s="10">
        <v>92</v>
      </c>
      <c r="CT27" s="10">
        <v>98</v>
      </c>
      <c r="CU27" s="10">
        <v>100</v>
      </c>
      <c r="CV27" s="10">
        <f t="shared" si="29"/>
        <v>96.666666666666671</v>
      </c>
      <c r="CW27" s="10">
        <f t="shared" si="30"/>
        <v>94.308943089430898</v>
      </c>
      <c r="CX27" s="10">
        <v>101</v>
      </c>
      <c r="CY27" s="10">
        <v>102</v>
      </c>
      <c r="CZ27" s="10">
        <v>102</v>
      </c>
      <c r="DA27" s="10">
        <f t="shared" si="31"/>
        <v>101.66666666666667</v>
      </c>
      <c r="DB27" s="10">
        <f t="shared" si="32"/>
        <v>99.1869918699187</v>
      </c>
      <c r="DC27" s="10">
        <v>80</v>
      </c>
      <c r="DD27" s="1">
        <v>82.5</v>
      </c>
      <c r="DE27" s="10">
        <v>89</v>
      </c>
      <c r="DF27" s="1">
        <f t="shared" si="33"/>
        <v>83.833333333333329</v>
      </c>
      <c r="DG27" s="1">
        <f t="shared" si="34"/>
        <v>81.788617886178855</v>
      </c>
      <c r="DH27" s="10">
        <v>88</v>
      </c>
      <c r="DI27" s="1">
        <v>89.5</v>
      </c>
      <c r="DJ27" s="1">
        <v>90.5</v>
      </c>
      <c r="DK27" s="10">
        <f t="shared" si="35"/>
        <v>89.333333333333329</v>
      </c>
      <c r="DL27" s="10">
        <f t="shared" si="36"/>
        <v>87.154471544715435</v>
      </c>
      <c r="DM27" s="1">
        <v>112.5</v>
      </c>
      <c r="DN27" s="1">
        <v>112.5</v>
      </c>
      <c r="DO27" s="10">
        <v>113</v>
      </c>
      <c r="DP27" s="6">
        <f t="shared" si="37"/>
        <v>112.66666666666667</v>
      </c>
      <c r="DQ27" s="10">
        <f t="shared" si="38"/>
        <v>109.91869918699186</v>
      </c>
      <c r="DR27" s="10">
        <v>105</v>
      </c>
      <c r="DS27" s="10">
        <v>107</v>
      </c>
      <c r="DT27" s="1">
        <v>108.5</v>
      </c>
      <c r="DU27" s="6">
        <f t="shared" si="39"/>
        <v>106.83333333333333</v>
      </c>
      <c r="DV27" s="1">
        <f t="shared" si="40"/>
        <v>104.22764227642276</v>
      </c>
      <c r="DW27" s="10">
        <v>86</v>
      </c>
      <c r="DX27" s="10">
        <v>90</v>
      </c>
      <c r="DY27" s="10">
        <v>92</v>
      </c>
      <c r="DZ27" s="6">
        <f t="shared" si="41"/>
        <v>89.333333333333329</v>
      </c>
      <c r="EA27" s="6">
        <f t="shared" si="42"/>
        <v>87.154471544715435</v>
      </c>
      <c r="EB27" s="10">
        <v>71</v>
      </c>
      <c r="EC27" s="1">
        <v>75.5</v>
      </c>
      <c r="ED27" s="10">
        <v>78</v>
      </c>
      <c r="EE27" s="6">
        <f t="shared" si="43"/>
        <v>74.833333333333329</v>
      </c>
      <c r="EF27" s="6">
        <f t="shared" si="44"/>
        <v>73.008130081300806</v>
      </c>
      <c r="EG27" s="10">
        <v>92</v>
      </c>
      <c r="EH27" s="10">
        <v>95</v>
      </c>
      <c r="EI27" s="1">
        <v>97.5</v>
      </c>
      <c r="EJ27" s="6">
        <f t="shared" si="45"/>
        <v>94.833333333333329</v>
      </c>
      <c r="EK27" s="6">
        <f t="shared" si="46"/>
        <v>92.520325203252028</v>
      </c>
      <c r="EL27" s="10">
        <v>86</v>
      </c>
      <c r="EM27" s="1">
        <v>86.5</v>
      </c>
      <c r="EN27" s="1">
        <v>86.5</v>
      </c>
      <c r="EO27" s="6">
        <f t="shared" si="47"/>
        <v>86.333333333333329</v>
      </c>
      <c r="EP27" s="6">
        <f t="shared" si="48"/>
        <v>84.22764227642277</v>
      </c>
      <c r="EQ27" s="10">
        <v>98</v>
      </c>
      <c r="ER27" s="10">
        <v>98</v>
      </c>
      <c r="ES27" s="1">
        <v>101.5</v>
      </c>
      <c r="ET27" s="6">
        <f t="shared" si="49"/>
        <v>99.166666666666671</v>
      </c>
      <c r="EU27" s="6">
        <f t="shared" si="50"/>
        <v>96.747967479674799</v>
      </c>
      <c r="EV27" s="10">
        <v>99</v>
      </c>
      <c r="EW27" s="10">
        <v>100</v>
      </c>
      <c r="EX27" s="1">
        <v>104.5</v>
      </c>
      <c r="EY27" s="6">
        <f t="shared" si="51"/>
        <v>101.16666666666667</v>
      </c>
      <c r="EZ27" s="6">
        <f t="shared" si="52"/>
        <v>98.699186991869922</v>
      </c>
      <c r="FA27" s="10">
        <v>81</v>
      </c>
      <c r="FB27" s="10">
        <v>87</v>
      </c>
      <c r="FC27" s="10">
        <v>90</v>
      </c>
      <c r="FD27" s="6">
        <f t="shared" si="53"/>
        <v>86</v>
      </c>
      <c r="FE27" s="6">
        <f t="shared" si="54"/>
        <v>83.902439024390247</v>
      </c>
      <c r="FF27" s="10">
        <v>84</v>
      </c>
      <c r="FG27" s="10">
        <v>85</v>
      </c>
      <c r="FH27" s="1">
        <v>87.5</v>
      </c>
      <c r="FI27" s="6">
        <f t="shared" si="55"/>
        <v>85.5</v>
      </c>
      <c r="FJ27" s="6">
        <f t="shared" si="56"/>
        <v>83.414634146341456</v>
      </c>
      <c r="FK27" s="1">
        <v>95.5</v>
      </c>
      <c r="FL27" s="10">
        <v>97</v>
      </c>
      <c r="FM27" s="10">
        <v>100</v>
      </c>
      <c r="FN27" s="6">
        <f t="shared" si="57"/>
        <v>97.5</v>
      </c>
      <c r="FO27" s="6">
        <f t="shared" si="58"/>
        <v>95.121951219512198</v>
      </c>
      <c r="FP27" s="10">
        <v>103</v>
      </c>
      <c r="FQ27" s="10">
        <v>105</v>
      </c>
      <c r="FR27" s="10">
        <v>107</v>
      </c>
      <c r="FS27" s="6">
        <f t="shared" si="59"/>
        <v>105</v>
      </c>
      <c r="FT27" s="6">
        <f t="shared" si="60"/>
        <v>102.4390243902439</v>
      </c>
      <c r="FU27" s="10">
        <v>94</v>
      </c>
      <c r="FV27" s="10">
        <v>98</v>
      </c>
      <c r="FW27" s="10">
        <v>99</v>
      </c>
      <c r="FX27" s="6">
        <f t="shared" si="61"/>
        <v>97</v>
      </c>
      <c r="FY27" s="6">
        <f t="shared" si="62"/>
        <v>94.634146341463406</v>
      </c>
      <c r="FZ27" s="10">
        <v>105</v>
      </c>
      <c r="GA27" s="10">
        <v>105</v>
      </c>
      <c r="GB27" s="10">
        <v>106</v>
      </c>
      <c r="GC27" s="6">
        <f t="shared" si="63"/>
        <v>105.33333333333333</v>
      </c>
      <c r="GD27" s="6">
        <f t="shared" si="64"/>
        <v>102.76422764227642</v>
      </c>
      <c r="GE27" s="10">
        <v>88</v>
      </c>
      <c r="GF27" s="10">
        <v>89</v>
      </c>
      <c r="GG27" s="10">
        <v>92</v>
      </c>
      <c r="GH27" s="6">
        <f t="shared" si="65"/>
        <v>89.666666666666671</v>
      </c>
      <c r="GI27" s="6">
        <f t="shared" si="66"/>
        <v>87.479674796747972</v>
      </c>
      <c r="GJ27" s="1">
        <v>98.5</v>
      </c>
      <c r="GK27" s="10">
        <v>101</v>
      </c>
      <c r="GL27" s="10">
        <v>101</v>
      </c>
      <c r="GM27" s="6">
        <f t="shared" si="67"/>
        <v>100.16666666666667</v>
      </c>
      <c r="GN27" s="6">
        <f t="shared" si="68"/>
        <v>97.723577235772368</v>
      </c>
      <c r="GO27" s="10">
        <v>88.5</v>
      </c>
      <c r="GP27" s="15" t="s">
        <v>222</v>
      </c>
      <c r="GQ27" s="6"/>
      <c r="GR27" s="12"/>
      <c r="GS27" s="12">
        <f t="shared" si="72"/>
        <v>88.434959349593498</v>
      </c>
      <c r="GU27" s="12">
        <f t="shared" si="73"/>
        <v>85.873983739837399</v>
      </c>
      <c r="GV27" s="12">
        <f t="shared" si="69"/>
        <v>90.995934959349583</v>
      </c>
      <c r="GW27" s="12">
        <f t="shared" si="74"/>
        <v>5.1219512195121837</v>
      </c>
      <c r="GX27" s="12"/>
      <c r="GY27" s="12"/>
      <c r="GZ27" s="13">
        <f t="shared" si="75"/>
        <v>88.434959349593498</v>
      </c>
      <c r="HA27" s="6"/>
      <c r="HB27" s="10">
        <f t="shared" si="70"/>
        <v>0.12195121951219789</v>
      </c>
      <c r="HC27" s="6"/>
      <c r="HD27" s="10">
        <f t="shared" si="76"/>
        <v>93.434959349593498</v>
      </c>
      <c r="HE27" s="10">
        <f t="shared" si="71"/>
        <v>93.3130081300813</v>
      </c>
      <c r="HF27" s="10"/>
      <c r="HH27" s="10"/>
    </row>
    <row r="28" spans="1:21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6"/>
      <c r="HF28" s="6"/>
      <c r="HG28" s="6"/>
      <c r="HH28" s="6"/>
    </row>
    <row r="29" spans="1:216" ht="13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</row>
    <row r="30" spans="1:216" ht="13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</row>
    <row r="31" spans="1:216" ht="13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</row>
    <row r="32" spans="1:216" ht="13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</row>
    <row r="33" spans="1:216" ht="13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</row>
    <row r="34" spans="1:216" ht="13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</row>
    <row r="35" spans="1:216" ht="13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</row>
    <row r="36" spans="1:216" ht="13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</row>
    <row r="37" spans="1:216" ht="13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</row>
    <row r="38" spans="1:216" ht="13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</row>
    <row r="39" spans="1:216" ht="13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</row>
    <row r="40" spans="1:216" ht="13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</row>
    <row r="41" spans="1:216" ht="13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</row>
    <row r="42" spans="1:216" ht="13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</row>
    <row r="43" spans="1:216" ht="13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</row>
    <row r="44" spans="1:216" ht="13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</row>
    <row r="45" spans="1:216" ht="13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</row>
    <row r="46" spans="1:216" ht="13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</row>
    <row r="47" spans="1:216" ht="13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</row>
    <row r="48" spans="1:216" ht="13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</row>
    <row r="49" spans="1:216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</row>
    <row r="50" spans="1:216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</row>
    <row r="51" spans="1:216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</row>
    <row r="52" spans="1:216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</row>
    <row r="53" spans="1:216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</row>
    <row r="54" spans="1:216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</row>
    <row r="55" spans="1:216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</row>
    <row r="56" spans="1:216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</row>
    <row r="57" spans="1:216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</row>
    <row r="58" spans="1:216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</row>
    <row r="59" spans="1:216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</row>
    <row r="60" spans="1:216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</row>
    <row r="61" spans="1:216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</row>
    <row r="62" spans="1:216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</row>
    <row r="63" spans="1:216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</row>
    <row r="64" spans="1:216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</row>
    <row r="65" spans="1:216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</row>
    <row r="66" spans="1:216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</row>
    <row r="67" spans="1:216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</row>
    <row r="68" spans="1:216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</row>
    <row r="69" spans="1:216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</row>
    <row r="70" spans="1:216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</row>
    <row r="71" spans="1:216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</row>
    <row r="72" spans="1:216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</row>
    <row r="73" spans="1:216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</row>
    <row r="74" spans="1:216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</row>
    <row r="75" spans="1:216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</row>
    <row r="76" spans="1:216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</row>
    <row r="77" spans="1:216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</row>
    <row r="78" spans="1:216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</row>
    <row r="79" spans="1:216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</row>
    <row r="80" spans="1:216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</row>
    <row r="81" spans="1:216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</row>
    <row r="82" spans="1:216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</row>
    <row r="83" spans="1:216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</row>
    <row r="84" spans="1:216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</row>
    <row r="85" spans="1:216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</row>
    <row r="86" spans="1:216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</row>
    <row r="87" spans="1:216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</row>
    <row r="88" spans="1:216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</row>
    <row r="89" spans="1:216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</row>
    <row r="90" spans="1:216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</row>
    <row r="91" spans="1:216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</row>
    <row r="92" spans="1:216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</row>
    <row r="93" spans="1:216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</row>
    <row r="94" spans="1:216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</row>
    <row r="95" spans="1:216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</row>
    <row r="96" spans="1:216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</row>
    <row r="97" spans="1:216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</row>
    <row r="98" spans="1:216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</row>
    <row r="99" spans="1:216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</row>
    <row r="100" spans="1:216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</row>
    <row r="101" spans="1:216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</row>
    <row r="102" spans="1:216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</row>
    <row r="103" spans="1:216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</row>
    <row r="104" spans="1:216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</row>
    <row r="105" spans="1:216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</row>
    <row r="106" spans="1:216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</row>
    <row r="107" spans="1:216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</row>
    <row r="108" spans="1:216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</row>
    <row r="109" spans="1:216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</row>
    <row r="110" spans="1:216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</row>
    <row r="111" spans="1:216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</row>
    <row r="112" spans="1:216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</row>
    <row r="113" spans="1:216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</row>
    <row r="114" spans="1:216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</row>
    <row r="115" spans="1:216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</row>
    <row r="116" spans="1:216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</row>
    <row r="117" spans="1:216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</row>
    <row r="118" spans="1:216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</row>
    <row r="119" spans="1:216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</row>
    <row r="120" spans="1:216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</row>
    <row r="121" spans="1:216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</row>
    <row r="122" spans="1:216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</row>
    <row r="123" spans="1:216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</row>
    <row r="124" spans="1:216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</row>
    <row r="125" spans="1:216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</row>
    <row r="126" spans="1:216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</row>
    <row r="127" spans="1:216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</row>
    <row r="128" spans="1:216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</row>
    <row r="129" spans="1:216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</row>
    <row r="130" spans="1:216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</row>
    <row r="131" spans="1:216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</row>
    <row r="132" spans="1:216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</row>
    <row r="133" spans="1:216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</row>
    <row r="134" spans="1:216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</row>
    <row r="135" spans="1:216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</row>
    <row r="136" spans="1:216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</row>
    <row r="137" spans="1:216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</row>
    <row r="138" spans="1:216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</row>
    <row r="139" spans="1:216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</row>
    <row r="140" spans="1:216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</row>
    <row r="141" spans="1:216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</row>
    <row r="142" spans="1:216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</row>
    <row r="143" spans="1:216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</row>
    <row r="144" spans="1:216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</row>
    <row r="145" spans="1:216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</row>
    <row r="146" spans="1:216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</row>
    <row r="147" spans="1:216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</row>
    <row r="148" spans="1:216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</row>
    <row r="149" spans="1:216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</row>
    <row r="150" spans="1:216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</row>
    <row r="151" spans="1:216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</row>
    <row r="152" spans="1:216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</row>
    <row r="153" spans="1:216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</row>
    <row r="154" spans="1:216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</row>
    <row r="155" spans="1:216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</row>
    <row r="156" spans="1:216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</row>
    <row r="157" spans="1:216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</row>
    <row r="158" spans="1:216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</row>
    <row r="159" spans="1:216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</row>
    <row r="160" spans="1:216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</row>
    <row r="161" spans="1:216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</row>
    <row r="162" spans="1:216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</row>
    <row r="163" spans="1:216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</row>
    <row r="164" spans="1:216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</row>
    <row r="165" spans="1:216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</row>
    <row r="166" spans="1:216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</row>
    <row r="167" spans="1:216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</row>
    <row r="168" spans="1:216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</row>
    <row r="169" spans="1:216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</row>
    <row r="170" spans="1:216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</row>
    <row r="171" spans="1:216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</row>
    <row r="172" spans="1:216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</row>
    <row r="173" spans="1:216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</row>
    <row r="174" spans="1:216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</row>
    <row r="175" spans="1:216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</row>
    <row r="176" spans="1:216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</row>
    <row r="177" spans="1:216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</row>
    <row r="178" spans="1:216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</row>
    <row r="179" spans="1:216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</row>
    <row r="180" spans="1:216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</row>
    <row r="181" spans="1:216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</row>
    <row r="182" spans="1:216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</row>
    <row r="183" spans="1:216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</row>
    <row r="184" spans="1:216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</row>
    <row r="185" spans="1:216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</row>
    <row r="186" spans="1:216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</row>
    <row r="187" spans="1:216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</row>
    <row r="188" spans="1:216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</row>
    <row r="189" spans="1:216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</row>
    <row r="190" spans="1:216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</row>
    <row r="191" spans="1:216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</row>
    <row r="192" spans="1:216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</row>
    <row r="193" spans="1:216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</row>
    <row r="194" spans="1:216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</row>
    <row r="195" spans="1:216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</row>
    <row r="196" spans="1:216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</row>
    <row r="197" spans="1:216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</row>
    <row r="198" spans="1:216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</row>
    <row r="199" spans="1:216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</row>
    <row r="200" spans="1:216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</row>
    <row r="201" spans="1:216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</row>
    <row r="202" spans="1:216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</row>
    <row r="203" spans="1:216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</row>
    <row r="204" spans="1:216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</row>
    <row r="205" spans="1:216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</row>
    <row r="206" spans="1:216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</row>
    <row r="207" spans="1:216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</row>
    <row r="208" spans="1:216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</row>
    <row r="209" spans="1:216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</row>
    <row r="210" spans="1:216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</row>
    <row r="211" spans="1:216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</row>
    <row r="212" spans="1:216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</row>
    <row r="213" spans="1:216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</row>
    <row r="214" spans="1:216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</row>
    <row r="215" spans="1:216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</row>
    <row r="216" spans="1:216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</row>
    <row r="217" spans="1:216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</row>
    <row r="218" spans="1:216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</row>
    <row r="219" spans="1:216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</row>
    <row r="220" spans="1:216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</row>
    <row r="221" spans="1:216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</row>
    <row r="222" spans="1:216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</row>
    <row r="223" spans="1:216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</row>
    <row r="224" spans="1:216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</row>
    <row r="225" spans="1:216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</row>
    <row r="226" spans="1:216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</row>
    <row r="227" spans="1:216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</row>
    <row r="228" spans="1:216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</row>
    <row r="229" spans="1:216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</row>
    <row r="230" spans="1:216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</row>
    <row r="231" spans="1:216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</row>
    <row r="232" spans="1:216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</row>
    <row r="233" spans="1:216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</row>
    <row r="234" spans="1:216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</row>
    <row r="235" spans="1:216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</row>
    <row r="236" spans="1:216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</row>
    <row r="237" spans="1:216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</row>
    <row r="238" spans="1:216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</row>
    <row r="239" spans="1:216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</row>
    <row r="240" spans="1:216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</row>
    <row r="241" spans="1:216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</row>
    <row r="242" spans="1:216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</row>
    <row r="243" spans="1:216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</row>
    <row r="244" spans="1:216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</row>
    <row r="245" spans="1:216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</row>
    <row r="246" spans="1:216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</row>
    <row r="247" spans="1:216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</row>
    <row r="248" spans="1:216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</row>
    <row r="249" spans="1:216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</row>
    <row r="250" spans="1:216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</row>
    <row r="251" spans="1:216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</row>
    <row r="252" spans="1:216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</row>
    <row r="253" spans="1:216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</row>
    <row r="254" spans="1:216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</row>
    <row r="255" spans="1:216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</row>
    <row r="256" spans="1:216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</row>
    <row r="257" spans="1:216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</row>
    <row r="258" spans="1:216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</row>
    <row r="259" spans="1:216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</row>
    <row r="260" spans="1:216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</row>
    <row r="261" spans="1:216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</row>
    <row r="262" spans="1:216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</row>
    <row r="263" spans="1:216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</row>
    <row r="264" spans="1:216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</row>
    <row r="265" spans="1:216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</row>
    <row r="266" spans="1:216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</row>
    <row r="267" spans="1:216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</row>
    <row r="268" spans="1:216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</row>
    <row r="269" spans="1:216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</row>
    <row r="270" spans="1:216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</row>
    <row r="271" spans="1:216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</row>
    <row r="272" spans="1:216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</row>
    <row r="273" spans="1:216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</row>
    <row r="274" spans="1:216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</row>
    <row r="275" spans="1:216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</row>
    <row r="276" spans="1:216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</row>
    <row r="277" spans="1:216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</row>
    <row r="278" spans="1:216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</row>
    <row r="279" spans="1:216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</row>
    <row r="280" spans="1:216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</row>
    <row r="281" spans="1:216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</row>
    <row r="282" spans="1:216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</row>
    <row r="283" spans="1:216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</row>
    <row r="284" spans="1:216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</row>
    <row r="285" spans="1:216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</row>
    <row r="286" spans="1:216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</row>
    <row r="287" spans="1:216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</row>
    <row r="288" spans="1:216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</row>
    <row r="289" spans="1:216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</row>
    <row r="290" spans="1:216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</row>
    <row r="291" spans="1:216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</row>
    <row r="292" spans="1:216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</row>
    <row r="293" spans="1:216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</row>
    <row r="294" spans="1:216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</row>
    <row r="295" spans="1:216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</row>
    <row r="296" spans="1:216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</row>
    <row r="297" spans="1:216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</row>
    <row r="298" spans="1:216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</row>
    <row r="299" spans="1:216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</row>
    <row r="300" spans="1:216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</row>
    <row r="301" spans="1:216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</row>
    <row r="302" spans="1:216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</row>
    <row r="303" spans="1:216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</row>
    <row r="304" spans="1:216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</row>
    <row r="305" spans="1:216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</row>
    <row r="306" spans="1:216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</row>
    <row r="307" spans="1:216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</row>
    <row r="308" spans="1:216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</row>
    <row r="309" spans="1:216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</row>
    <row r="310" spans="1:216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</row>
    <row r="311" spans="1:216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</row>
    <row r="312" spans="1:216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</row>
    <row r="313" spans="1:216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</row>
    <row r="314" spans="1:216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</row>
    <row r="315" spans="1:216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</row>
    <row r="316" spans="1:216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</row>
    <row r="317" spans="1:216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</row>
    <row r="318" spans="1:216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</row>
    <row r="319" spans="1:216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</row>
    <row r="320" spans="1:216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</row>
    <row r="321" spans="1:216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</row>
    <row r="322" spans="1:216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</row>
    <row r="323" spans="1:216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</row>
    <row r="324" spans="1:216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</row>
    <row r="325" spans="1:216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</row>
    <row r="326" spans="1:216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</row>
    <row r="327" spans="1:216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</row>
    <row r="328" spans="1:216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</row>
    <row r="329" spans="1:216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</row>
    <row r="330" spans="1:216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</row>
    <row r="331" spans="1:216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</row>
    <row r="332" spans="1:216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</row>
    <row r="333" spans="1:216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</row>
    <row r="334" spans="1:216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</row>
    <row r="335" spans="1:216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</row>
    <row r="336" spans="1:216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</row>
    <row r="337" spans="1:216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</row>
    <row r="338" spans="1:216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</row>
    <row r="339" spans="1:216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</row>
    <row r="340" spans="1:216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</row>
    <row r="341" spans="1:216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</row>
    <row r="342" spans="1:216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</row>
    <row r="343" spans="1:216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</row>
    <row r="344" spans="1:216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</row>
    <row r="345" spans="1:216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</row>
    <row r="346" spans="1:216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</row>
    <row r="347" spans="1:216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</row>
    <row r="348" spans="1:216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</row>
    <row r="349" spans="1:216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</row>
    <row r="350" spans="1:216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</row>
    <row r="351" spans="1:216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</row>
    <row r="352" spans="1:216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</row>
    <row r="353" spans="1:216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</row>
    <row r="354" spans="1:216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</row>
    <row r="355" spans="1:216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</row>
    <row r="356" spans="1:216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</row>
    <row r="357" spans="1:216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</row>
    <row r="358" spans="1:216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</row>
    <row r="359" spans="1:216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</row>
    <row r="360" spans="1:216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</row>
    <row r="361" spans="1:216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</row>
    <row r="362" spans="1:216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</row>
    <row r="363" spans="1:216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</row>
    <row r="364" spans="1:216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</row>
    <row r="365" spans="1:216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</row>
    <row r="366" spans="1:216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</row>
    <row r="367" spans="1:216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</row>
    <row r="368" spans="1:216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</row>
    <row r="369" spans="1:216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</row>
    <row r="370" spans="1:216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</row>
    <row r="371" spans="1:216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</row>
    <row r="372" spans="1:216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</row>
    <row r="373" spans="1:216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</row>
    <row r="374" spans="1:216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</row>
    <row r="375" spans="1:216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</row>
    <row r="376" spans="1:216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</row>
    <row r="377" spans="1:216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</row>
    <row r="378" spans="1:216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</row>
    <row r="379" spans="1:216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</row>
    <row r="380" spans="1:216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</row>
    <row r="381" spans="1:216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</row>
    <row r="382" spans="1:216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</row>
    <row r="383" spans="1:216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</row>
    <row r="384" spans="1:216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</row>
    <row r="385" spans="1:216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</row>
    <row r="386" spans="1:216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</row>
    <row r="387" spans="1:216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</row>
    <row r="388" spans="1:216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</row>
    <row r="389" spans="1:216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</row>
    <row r="390" spans="1:216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</row>
    <row r="391" spans="1:216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</row>
    <row r="392" spans="1:216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</row>
    <row r="393" spans="1:216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</row>
    <row r="394" spans="1:216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</row>
    <row r="395" spans="1:216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</row>
    <row r="396" spans="1:216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</row>
    <row r="397" spans="1:216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</row>
    <row r="398" spans="1:216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</row>
    <row r="399" spans="1:216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</row>
    <row r="400" spans="1:216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</row>
    <row r="401" spans="1:216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</row>
    <row r="402" spans="1:216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</row>
    <row r="403" spans="1:216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</row>
    <row r="404" spans="1:216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</row>
    <row r="405" spans="1:216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</row>
    <row r="406" spans="1:216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</row>
    <row r="407" spans="1:216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</row>
    <row r="408" spans="1:216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</row>
    <row r="409" spans="1:216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</row>
    <row r="410" spans="1:216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</row>
    <row r="411" spans="1:216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</row>
    <row r="412" spans="1:216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</row>
    <row r="413" spans="1:216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</row>
    <row r="414" spans="1:216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</row>
    <row r="415" spans="1:216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</row>
    <row r="416" spans="1:216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</row>
    <row r="417" spans="1:216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</row>
    <row r="418" spans="1:216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</row>
    <row r="419" spans="1:216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</row>
    <row r="420" spans="1:216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</row>
    <row r="421" spans="1:216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</row>
    <row r="422" spans="1:216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</row>
    <row r="423" spans="1:216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</row>
    <row r="424" spans="1:216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</row>
    <row r="425" spans="1:216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</row>
    <row r="426" spans="1:216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</row>
    <row r="427" spans="1:216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</row>
    <row r="428" spans="1:216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</row>
    <row r="429" spans="1:216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</row>
    <row r="430" spans="1:216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</row>
    <row r="431" spans="1:216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</row>
    <row r="432" spans="1:216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</row>
    <row r="433" spans="1:216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</row>
    <row r="434" spans="1:216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</row>
    <row r="435" spans="1:216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</row>
    <row r="436" spans="1:216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</row>
    <row r="437" spans="1:216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</row>
    <row r="438" spans="1:216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</row>
    <row r="439" spans="1:216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</row>
    <row r="440" spans="1:216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</row>
    <row r="441" spans="1:216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</row>
    <row r="442" spans="1:216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</row>
    <row r="443" spans="1:216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</row>
    <row r="444" spans="1:216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</row>
    <row r="445" spans="1:216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</row>
    <row r="446" spans="1:216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</row>
    <row r="447" spans="1:216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</row>
    <row r="448" spans="1:216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</row>
    <row r="449" spans="1:216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</row>
    <row r="450" spans="1:216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</row>
    <row r="451" spans="1:216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</row>
    <row r="452" spans="1:216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</row>
    <row r="453" spans="1:216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</row>
    <row r="454" spans="1:216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</row>
    <row r="455" spans="1:216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</row>
    <row r="456" spans="1:216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</row>
    <row r="457" spans="1:216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</row>
    <row r="458" spans="1:216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</row>
    <row r="459" spans="1:216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</row>
    <row r="460" spans="1:216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</row>
    <row r="461" spans="1:216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</row>
    <row r="462" spans="1:216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</row>
    <row r="463" spans="1:216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</row>
    <row r="464" spans="1:216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</row>
    <row r="465" spans="1:216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</row>
    <row r="466" spans="1:216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</row>
    <row r="467" spans="1:216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</row>
    <row r="468" spans="1:216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</row>
    <row r="469" spans="1:216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</row>
    <row r="470" spans="1:216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</row>
    <row r="471" spans="1:216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</row>
    <row r="472" spans="1:216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</row>
    <row r="473" spans="1:216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</row>
    <row r="474" spans="1:216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</row>
    <row r="475" spans="1:216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</row>
    <row r="476" spans="1:216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</row>
    <row r="477" spans="1:216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</row>
    <row r="478" spans="1:216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</row>
    <row r="479" spans="1:216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</row>
    <row r="480" spans="1:216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</row>
    <row r="481" spans="1:216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</row>
    <row r="482" spans="1:216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</row>
    <row r="483" spans="1:216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</row>
    <row r="484" spans="1:216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</row>
    <row r="485" spans="1:216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</row>
    <row r="486" spans="1:216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</row>
    <row r="487" spans="1:216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</row>
    <row r="488" spans="1:216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</row>
    <row r="489" spans="1:216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</row>
    <row r="490" spans="1:216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</row>
    <row r="491" spans="1:216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</row>
    <row r="492" spans="1:216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</row>
    <row r="493" spans="1:216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</row>
    <row r="494" spans="1:216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</row>
    <row r="495" spans="1:216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</row>
    <row r="496" spans="1:216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</row>
    <row r="497" spans="1:216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</row>
    <row r="498" spans="1:216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</row>
    <row r="499" spans="1:216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</row>
    <row r="500" spans="1:216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</row>
    <row r="501" spans="1:216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</row>
    <row r="502" spans="1:216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</row>
    <row r="503" spans="1:216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</row>
    <row r="504" spans="1:216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</row>
    <row r="505" spans="1:216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</row>
    <row r="506" spans="1:216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</row>
    <row r="507" spans="1:216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</row>
    <row r="508" spans="1:216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</row>
    <row r="509" spans="1:216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</row>
    <row r="510" spans="1:216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</row>
    <row r="511" spans="1:216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</row>
    <row r="512" spans="1:216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</row>
    <row r="513" spans="1:216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</row>
    <row r="514" spans="1:216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</row>
    <row r="515" spans="1:216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</row>
    <row r="516" spans="1:216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</row>
    <row r="517" spans="1:216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</row>
    <row r="518" spans="1:216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</row>
    <row r="519" spans="1:216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</row>
    <row r="520" spans="1:216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</row>
    <row r="521" spans="1:216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</row>
    <row r="522" spans="1:216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</row>
    <row r="523" spans="1:216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</row>
    <row r="524" spans="1:216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</row>
    <row r="525" spans="1:216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</row>
    <row r="526" spans="1:216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</row>
    <row r="527" spans="1:216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</row>
    <row r="528" spans="1:216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</row>
    <row r="529" spans="1:216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</row>
    <row r="530" spans="1:216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</row>
    <row r="531" spans="1:216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</row>
    <row r="532" spans="1:216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</row>
    <row r="533" spans="1:216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</row>
    <row r="534" spans="1:216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</row>
    <row r="535" spans="1:216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</row>
    <row r="536" spans="1:216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</row>
    <row r="537" spans="1:216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</row>
    <row r="538" spans="1:216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</row>
    <row r="539" spans="1:216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</row>
    <row r="540" spans="1:216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</row>
    <row r="541" spans="1:216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</row>
    <row r="542" spans="1:216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</row>
    <row r="543" spans="1:216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</row>
    <row r="544" spans="1:216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</row>
    <row r="545" spans="1:216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</row>
    <row r="546" spans="1:216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</row>
    <row r="547" spans="1:216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</row>
    <row r="548" spans="1:216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</row>
    <row r="549" spans="1:216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</row>
    <row r="550" spans="1:216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</row>
    <row r="551" spans="1:216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</row>
    <row r="552" spans="1:216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</row>
    <row r="553" spans="1:216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</row>
    <row r="554" spans="1:216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</row>
    <row r="555" spans="1:216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</row>
    <row r="556" spans="1:216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</row>
    <row r="557" spans="1:216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</row>
    <row r="558" spans="1:216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</row>
    <row r="559" spans="1:216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</row>
    <row r="560" spans="1:216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</row>
    <row r="561" spans="1:216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</row>
    <row r="562" spans="1:216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</row>
    <row r="563" spans="1:216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</row>
    <row r="564" spans="1:216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</row>
    <row r="565" spans="1:216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</row>
    <row r="566" spans="1:216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</row>
    <row r="567" spans="1:216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</row>
    <row r="568" spans="1:216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</row>
    <row r="569" spans="1:216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</row>
    <row r="570" spans="1:216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</row>
    <row r="571" spans="1:216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</row>
    <row r="572" spans="1:216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</row>
    <row r="573" spans="1:216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</row>
    <row r="574" spans="1:216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</row>
    <row r="575" spans="1:216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</row>
    <row r="576" spans="1:216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</row>
    <row r="577" spans="1:216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</row>
    <row r="578" spans="1:216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</row>
    <row r="579" spans="1:216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</row>
    <row r="580" spans="1:216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</row>
    <row r="581" spans="1:216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</row>
    <row r="582" spans="1:216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</row>
    <row r="583" spans="1:216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</row>
    <row r="584" spans="1:216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</row>
    <row r="585" spans="1:216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</row>
    <row r="586" spans="1:216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</row>
    <row r="587" spans="1:216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</row>
    <row r="588" spans="1:216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</row>
    <row r="589" spans="1:216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</row>
    <row r="590" spans="1:216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</row>
    <row r="591" spans="1:216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</row>
    <row r="592" spans="1:216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</row>
    <row r="593" spans="1:216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</row>
    <row r="594" spans="1:216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</row>
    <row r="595" spans="1:216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</row>
    <row r="596" spans="1:216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</row>
    <row r="597" spans="1:216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</row>
    <row r="598" spans="1:216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</row>
    <row r="599" spans="1:216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</row>
    <row r="600" spans="1:216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</row>
    <row r="601" spans="1:216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</row>
    <row r="602" spans="1:216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</row>
    <row r="603" spans="1:216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</row>
    <row r="604" spans="1:216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</row>
    <row r="605" spans="1:216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</row>
    <row r="606" spans="1:216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</row>
    <row r="607" spans="1:216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</row>
    <row r="608" spans="1:216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</row>
    <row r="609" spans="1:216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</row>
    <row r="610" spans="1:216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</row>
    <row r="611" spans="1:216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</row>
    <row r="612" spans="1:216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</row>
    <row r="613" spans="1:216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</row>
    <row r="614" spans="1:216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</row>
    <row r="615" spans="1:216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</row>
    <row r="616" spans="1:216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</row>
    <row r="617" spans="1:216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</row>
    <row r="618" spans="1:216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</row>
    <row r="619" spans="1:216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</row>
    <row r="620" spans="1:216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</row>
    <row r="621" spans="1:216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</row>
    <row r="622" spans="1:216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</row>
    <row r="623" spans="1:216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</row>
    <row r="624" spans="1:216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</row>
    <row r="625" spans="1:216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</row>
    <row r="626" spans="1:216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</row>
    <row r="627" spans="1:216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</row>
    <row r="628" spans="1:216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</row>
    <row r="629" spans="1:216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</row>
    <row r="630" spans="1:216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</row>
    <row r="631" spans="1:216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</row>
    <row r="632" spans="1:216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</row>
    <row r="633" spans="1:216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</row>
    <row r="634" spans="1:216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</row>
    <row r="635" spans="1:216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</row>
    <row r="636" spans="1:216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</row>
    <row r="637" spans="1:216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</row>
    <row r="638" spans="1:216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</row>
    <row r="639" spans="1:216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</row>
    <row r="640" spans="1:216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</row>
    <row r="641" spans="1:216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</row>
    <row r="642" spans="1:216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</row>
    <row r="643" spans="1:216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</row>
    <row r="644" spans="1:216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</row>
    <row r="645" spans="1:216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</row>
    <row r="646" spans="1:216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</row>
    <row r="647" spans="1:216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</row>
    <row r="648" spans="1:216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</row>
    <row r="649" spans="1:216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</row>
    <row r="650" spans="1:216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</row>
    <row r="651" spans="1:216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</row>
    <row r="652" spans="1:216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</row>
    <row r="653" spans="1:216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</row>
    <row r="654" spans="1:216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</row>
    <row r="655" spans="1:216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</row>
    <row r="656" spans="1:216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</row>
    <row r="657" spans="1:216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</row>
    <row r="658" spans="1:216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</row>
    <row r="659" spans="1:216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</row>
    <row r="660" spans="1:216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</row>
    <row r="661" spans="1:216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</row>
    <row r="662" spans="1:216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</row>
    <row r="663" spans="1:216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</row>
    <row r="664" spans="1:216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</row>
    <row r="665" spans="1:216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</row>
    <row r="666" spans="1:216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</row>
    <row r="667" spans="1:216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</row>
    <row r="668" spans="1:216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</row>
    <row r="669" spans="1:216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</row>
    <row r="670" spans="1:216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</row>
    <row r="671" spans="1:216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</row>
    <row r="672" spans="1:216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</row>
    <row r="673" spans="1:216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</row>
    <row r="674" spans="1:216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</row>
    <row r="675" spans="1:216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</row>
    <row r="676" spans="1:216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</row>
    <row r="677" spans="1:216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</row>
    <row r="678" spans="1:216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</row>
    <row r="679" spans="1:216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</row>
    <row r="680" spans="1:216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</row>
    <row r="681" spans="1:216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</row>
    <row r="682" spans="1:216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</row>
    <row r="683" spans="1:216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</row>
    <row r="684" spans="1:216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</row>
    <row r="685" spans="1:216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</row>
    <row r="686" spans="1:216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</row>
    <row r="687" spans="1:216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</row>
    <row r="688" spans="1:216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</row>
    <row r="689" spans="1:216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</row>
    <row r="690" spans="1:216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</row>
    <row r="691" spans="1:216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</row>
    <row r="692" spans="1:216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</row>
    <row r="693" spans="1:216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</row>
    <row r="694" spans="1:216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</row>
    <row r="695" spans="1:216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</row>
    <row r="696" spans="1:216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</row>
    <row r="697" spans="1:216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</row>
    <row r="698" spans="1:216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</row>
    <row r="699" spans="1:216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</row>
    <row r="700" spans="1:216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</row>
    <row r="701" spans="1:216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</row>
    <row r="702" spans="1:216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</row>
    <row r="703" spans="1:216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</row>
    <row r="704" spans="1:216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</row>
    <row r="705" spans="1:216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</row>
    <row r="706" spans="1:216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</row>
    <row r="707" spans="1:216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</row>
    <row r="708" spans="1:216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</row>
    <row r="709" spans="1:216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</row>
    <row r="710" spans="1:216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</row>
    <row r="711" spans="1:216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</row>
    <row r="712" spans="1:216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</row>
    <row r="713" spans="1:216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</row>
    <row r="714" spans="1:216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</row>
    <row r="715" spans="1:216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</row>
    <row r="716" spans="1:216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</row>
    <row r="717" spans="1:216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</row>
    <row r="718" spans="1:216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</row>
    <row r="719" spans="1:216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</row>
    <row r="720" spans="1:216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</row>
    <row r="721" spans="1:216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</row>
    <row r="722" spans="1:216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</row>
    <row r="723" spans="1:216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</row>
    <row r="724" spans="1:216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</row>
    <row r="725" spans="1:216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</row>
    <row r="726" spans="1:216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</row>
    <row r="727" spans="1:216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</row>
    <row r="728" spans="1:216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</row>
    <row r="729" spans="1:216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</row>
    <row r="730" spans="1:216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</row>
    <row r="731" spans="1:216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</row>
    <row r="732" spans="1:216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</row>
    <row r="733" spans="1:216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</row>
    <row r="734" spans="1:216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</row>
    <row r="735" spans="1:216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</row>
    <row r="736" spans="1:216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</row>
    <row r="737" spans="1:216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</row>
    <row r="738" spans="1:216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</row>
    <row r="739" spans="1:216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</row>
    <row r="740" spans="1:216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</row>
    <row r="741" spans="1:216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</row>
    <row r="742" spans="1:216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</row>
    <row r="743" spans="1:216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</row>
    <row r="744" spans="1:216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</row>
    <row r="745" spans="1:216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</row>
    <row r="746" spans="1:216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</row>
    <row r="747" spans="1:216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</row>
    <row r="748" spans="1:216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</row>
    <row r="749" spans="1:216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</row>
    <row r="750" spans="1:216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</row>
    <row r="751" spans="1:216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</row>
    <row r="752" spans="1:216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</row>
    <row r="753" spans="1:216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</row>
    <row r="754" spans="1:216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</row>
    <row r="755" spans="1:216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</row>
    <row r="756" spans="1:216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</row>
    <row r="757" spans="1:216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</row>
    <row r="758" spans="1:216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</row>
    <row r="759" spans="1:216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</row>
    <row r="760" spans="1:216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</row>
    <row r="761" spans="1:216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</row>
    <row r="762" spans="1:216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</row>
    <row r="763" spans="1:216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</row>
    <row r="764" spans="1:216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</row>
    <row r="765" spans="1:216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</row>
    <row r="766" spans="1:216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</row>
    <row r="767" spans="1:216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</row>
    <row r="768" spans="1:216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</row>
    <row r="769" spans="1:216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</row>
    <row r="770" spans="1:216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</row>
    <row r="771" spans="1:216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</row>
    <row r="772" spans="1:216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</row>
    <row r="773" spans="1:216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</row>
    <row r="774" spans="1:216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</row>
    <row r="775" spans="1:216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</row>
    <row r="776" spans="1:216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</row>
    <row r="777" spans="1:216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</row>
    <row r="778" spans="1:216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</row>
    <row r="779" spans="1:216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</row>
    <row r="780" spans="1:216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</row>
    <row r="781" spans="1:216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</row>
    <row r="782" spans="1:216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</row>
    <row r="783" spans="1:216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</row>
    <row r="784" spans="1:216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</row>
    <row r="785" spans="1:216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</row>
    <row r="786" spans="1:216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</row>
    <row r="787" spans="1:216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</row>
    <row r="788" spans="1:216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</row>
    <row r="789" spans="1:216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</row>
    <row r="790" spans="1:216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</row>
    <row r="791" spans="1:216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</row>
    <row r="792" spans="1:216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</row>
    <row r="793" spans="1:216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</row>
    <row r="794" spans="1:216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</row>
    <row r="795" spans="1:216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</row>
    <row r="796" spans="1:216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</row>
    <row r="797" spans="1:216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</row>
    <row r="798" spans="1:216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</row>
    <row r="799" spans="1:216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</row>
    <row r="800" spans="1:216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</row>
    <row r="801" spans="1:216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</row>
    <row r="802" spans="1:216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</row>
    <row r="803" spans="1:216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</row>
    <row r="804" spans="1:216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</row>
    <row r="805" spans="1:216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</row>
    <row r="806" spans="1:216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</row>
    <row r="807" spans="1:216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</row>
    <row r="808" spans="1:216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</row>
    <row r="809" spans="1:216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</row>
    <row r="810" spans="1:216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</row>
    <row r="811" spans="1:216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</row>
    <row r="812" spans="1:216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</row>
    <row r="813" spans="1:216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</row>
    <row r="814" spans="1:216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</row>
    <row r="815" spans="1:216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</row>
    <row r="816" spans="1:216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</row>
    <row r="817" spans="1:216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</row>
    <row r="818" spans="1:216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</row>
    <row r="819" spans="1:216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</row>
    <row r="820" spans="1:216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</row>
    <row r="821" spans="1:216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</row>
    <row r="822" spans="1:216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</row>
    <row r="823" spans="1:216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</row>
    <row r="824" spans="1:216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</row>
    <row r="825" spans="1:216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</row>
    <row r="826" spans="1:216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</row>
    <row r="827" spans="1:216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</row>
    <row r="828" spans="1:216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</row>
    <row r="829" spans="1:216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</row>
    <row r="830" spans="1:216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</row>
    <row r="831" spans="1:216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</row>
    <row r="832" spans="1:216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</row>
    <row r="833" spans="1:216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</row>
    <row r="834" spans="1:216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</row>
    <row r="835" spans="1:216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</row>
    <row r="836" spans="1:216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</row>
    <row r="837" spans="1:216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</row>
    <row r="838" spans="1:216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</row>
    <row r="839" spans="1:216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</row>
    <row r="840" spans="1:216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</row>
    <row r="841" spans="1:216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</row>
    <row r="842" spans="1:216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</row>
    <row r="843" spans="1:216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</row>
    <row r="844" spans="1:216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</row>
    <row r="845" spans="1:216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</row>
    <row r="846" spans="1:216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</row>
    <row r="847" spans="1:216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</row>
    <row r="848" spans="1:216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</row>
    <row r="849" spans="1:216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</row>
    <row r="850" spans="1:216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</row>
    <row r="851" spans="1:216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</row>
    <row r="852" spans="1:216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</row>
    <row r="853" spans="1:216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</row>
    <row r="854" spans="1:216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</row>
    <row r="855" spans="1:216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</row>
    <row r="856" spans="1:216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</row>
    <row r="857" spans="1:216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</row>
    <row r="858" spans="1:216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</row>
    <row r="859" spans="1:216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</row>
    <row r="860" spans="1:216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</row>
    <row r="861" spans="1:216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</row>
    <row r="862" spans="1:216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</row>
    <row r="863" spans="1:216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</row>
    <row r="864" spans="1:216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</row>
    <row r="865" spans="1:216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</row>
    <row r="866" spans="1:216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</row>
    <row r="867" spans="1:216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</row>
    <row r="868" spans="1:216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</row>
    <row r="869" spans="1:216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</row>
    <row r="870" spans="1:216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</row>
    <row r="871" spans="1:216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</row>
    <row r="872" spans="1:216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</row>
    <row r="873" spans="1:216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</row>
    <row r="874" spans="1:216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</row>
    <row r="875" spans="1:216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</row>
    <row r="876" spans="1:216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</row>
    <row r="877" spans="1:216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</row>
    <row r="878" spans="1:216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</row>
    <row r="879" spans="1:216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</row>
    <row r="880" spans="1:216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</row>
    <row r="881" spans="1:216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</row>
    <row r="882" spans="1:216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</row>
    <row r="883" spans="1:216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</row>
    <row r="884" spans="1:216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</row>
    <row r="885" spans="1:216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</row>
    <row r="886" spans="1:216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</row>
    <row r="887" spans="1:216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</row>
    <row r="888" spans="1:216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</row>
    <row r="889" spans="1:216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</row>
    <row r="890" spans="1:216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</row>
    <row r="891" spans="1:216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</row>
    <row r="892" spans="1:216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</row>
    <row r="893" spans="1:216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</row>
    <row r="894" spans="1:216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</row>
    <row r="895" spans="1:216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</row>
    <row r="896" spans="1:216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</row>
    <row r="897" spans="1:216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</row>
    <row r="898" spans="1:216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</row>
    <row r="899" spans="1:216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</row>
    <row r="900" spans="1:216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</row>
    <row r="901" spans="1:216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</row>
    <row r="902" spans="1:216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</row>
    <row r="903" spans="1:216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</row>
    <row r="904" spans="1:216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</row>
    <row r="905" spans="1:216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</row>
    <row r="906" spans="1:216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</row>
    <row r="907" spans="1:216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</row>
    <row r="908" spans="1:216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</row>
    <row r="909" spans="1:216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</row>
    <row r="910" spans="1:216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</row>
    <row r="911" spans="1:216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</row>
    <row r="912" spans="1:216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</row>
    <row r="913" spans="1:216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</row>
    <row r="914" spans="1:216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</row>
    <row r="915" spans="1:216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</row>
    <row r="916" spans="1:216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</row>
    <row r="917" spans="1:216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</row>
    <row r="918" spans="1:216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</row>
    <row r="919" spans="1:216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</row>
    <row r="920" spans="1:216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</row>
    <row r="921" spans="1:216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</row>
    <row r="922" spans="1:216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</row>
    <row r="923" spans="1:216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</row>
    <row r="924" spans="1:216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</row>
    <row r="925" spans="1:216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</row>
    <row r="926" spans="1:216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</row>
    <row r="927" spans="1:216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</row>
    <row r="928" spans="1:216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</row>
    <row r="929" spans="1:216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</row>
    <row r="930" spans="1:216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</row>
    <row r="931" spans="1:216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</row>
    <row r="932" spans="1:216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</row>
    <row r="933" spans="1:216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</row>
    <row r="934" spans="1:216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</row>
    <row r="935" spans="1:216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</row>
    <row r="936" spans="1:216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</row>
    <row r="937" spans="1:216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</row>
    <row r="938" spans="1:216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</row>
    <row r="939" spans="1:216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</row>
    <row r="940" spans="1:216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</row>
    <row r="941" spans="1:216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</row>
    <row r="942" spans="1:216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</row>
    <row r="943" spans="1:216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</row>
    <row r="944" spans="1:216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</row>
    <row r="945" spans="1:216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</row>
    <row r="946" spans="1:216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</row>
    <row r="947" spans="1:216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</row>
    <row r="948" spans="1:216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</row>
    <row r="949" spans="1:216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</row>
    <row r="950" spans="1:216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</row>
    <row r="951" spans="1:216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</row>
    <row r="952" spans="1:216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</row>
    <row r="953" spans="1:216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</row>
    <row r="954" spans="1:216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</row>
    <row r="955" spans="1:216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</row>
    <row r="956" spans="1:216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</row>
    <row r="957" spans="1:216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</row>
    <row r="958" spans="1:216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</row>
    <row r="959" spans="1:216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</row>
    <row r="960" spans="1:216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</row>
    <row r="961" spans="1:216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</row>
    <row r="962" spans="1:216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</row>
    <row r="963" spans="1:216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</row>
    <row r="964" spans="1:216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</row>
    <row r="965" spans="1:216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</row>
    <row r="966" spans="1:216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</row>
    <row r="967" spans="1:216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</row>
    <row r="968" spans="1:216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</row>
    <row r="969" spans="1:216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</row>
    <row r="970" spans="1:216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</row>
    <row r="971" spans="1:216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</row>
    <row r="972" spans="1:216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</row>
    <row r="973" spans="1:216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</row>
    <row r="974" spans="1:216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</row>
    <row r="975" spans="1:216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</row>
    <row r="976" spans="1:216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</row>
    <row r="977" spans="1:216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</row>
    <row r="978" spans="1:216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</row>
    <row r="979" spans="1:216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</row>
    <row r="980" spans="1:216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</row>
    <row r="981" spans="1:216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</row>
    <row r="982" spans="1:216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</row>
    <row r="983" spans="1:216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</row>
    <row r="984" spans="1:216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</row>
    <row r="985" spans="1:216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</row>
    <row r="986" spans="1:216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</row>
    <row r="987" spans="1:216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</row>
    <row r="988" spans="1:216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</row>
    <row r="989" spans="1:216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</row>
    <row r="990" spans="1:216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</row>
    <row r="991" spans="1:216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</row>
    <row r="992" spans="1:216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</row>
    <row r="993" spans="1:216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</row>
    <row r="994" spans="1:216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</row>
    <row r="995" spans="1:216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</row>
    <row r="996" spans="1:216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</row>
    <row r="997" spans="1:216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</row>
    <row r="998" spans="1:216" ht="13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</row>
    <row r="999" spans="1:216" ht="13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</row>
    <row r="1000" spans="1:216" ht="13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</row>
  </sheetData>
  <conditionalFormatting sqref="CT1:CT1000">
    <cfRule type="notContainsBlanks" dxfId="0" priority="1">
      <formula>LEN(TRIM(CT1))&gt;0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loizos</dc:creator>
  <cp:lastModifiedBy>User</cp:lastModifiedBy>
  <dcterms:created xsi:type="dcterms:W3CDTF">2026-02-20T14:21:39Z</dcterms:created>
  <dcterms:modified xsi:type="dcterms:W3CDTF">2026-03-16T17:10:15Z</dcterms:modified>
</cp:coreProperties>
</file>